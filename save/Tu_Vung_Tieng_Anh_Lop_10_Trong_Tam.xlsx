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ừ Vựng Tiếng Anh Lớp 10" sheetId="1" state="visible" r:id="rId1"/>
    <sheet xmlns:r="http://schemas.openxmlformats.org/officeDocument/2006/relationships" name="Tổng Quan &amp; Thống Kê" sheetId="2" state="visible" r:id="rId2"/>
    <sheet xmlns:r="http://schemas.openxmlformats.org/officeDocument/2006/relationships" name="Flashcard &amp; Luyện Tập" sheetId="3" state="visible" r:id="rId3"/>
  </sheets>
  <definedNames>
    <definedName name="_xlnm._FilterDatabase" localSheetId="0" hidden="1">'Từ Vựng Tiếng Anh Lớp 10'!$A$1:$K$61</definedName>
    <definedName name="_xlnm._FilterDatabase" localSheetId="2" hidden="1">'Flashcard &amp; Luyện Tập'!$A$4:$H$29</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Segoe UI"/>
      <b val="1"/>
      <color rgb="00FFFFFF"/>
      <sz val="11"/>
    </font>
    <font>
      <name val="Segoe UI"/>
      <color rgb="000F172A"/>
      <sz val="10"/>
    </font>
    <font>
      <name val="Segoe UI"/>
      <b val="1"/>
      <color rgb="000F172A"/>
      <sz val="10"/>
    </font>
    <font>
      <name val="Segoe UI"/>
      <i val="1"/>
      <color rgb="00475569"/>
      <sz val="10"/>
    </font>
    <font>
      <name val="Segoe UI"/>
      <b val="1"/>
      <color rgb="001E3A8A"/>
      <sz val="16"/>
    </font>
    <font>
      <name val="Segoe UI"/>
      <b val="1"/>
      <color rgb="00475569"/>
      <sz val="9"/>
    </font>
    <font>
      <name val="Segoe UI"/>
      <b val="1"/>
      <color rgb="001E3A8A"/>
      <sz val="18"/>
    </font>
    <font>
      <name val="Segoe UI"/>
      <b val="1"/>
      <color rgb="001E3A8A"/>
      <sz val="12"/>
    </font>
  </fonts>
  <fills count="7">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FFFFFF"/>
        <bgColor rgb="00FFFFFF"/>
      </patternFill>
    </fill>
    <fill>
      <patternFill patternType="solid">
        <fgColor rgb="00F1F5F9"/>
        <bgColor rgb="00F1F5F9"/>
      </patternFill>
    </fill>
    <fill>
      <patternFill patternType="solid">
        <fgColor rgb="00EFF6FF"/>
        <bgColor rgb="00EFF6FF"/>
      </patternFill>
    </fill>
  </fills>
  <borders count="3">
    <border>
      <left/>
      <right/>
      <top/>
      <bottom/>
      <diagonal/>
    </border>
    <border>
      <left style="thin">
        <color rgb="00CBD5E1"/>
      </left>
      <right style="thin">
        <color rgb="00CBD5E1"/>
      </right>
      <top style="thin">
        <color rgb="00CBD5E1"/>
      </top>
      <bottom style="medium">
        <color rgb="00172554"/>
      </bottom>
    </border>
    <border>
      <left style="thin">
        <color rgb="00CBD5E1"/>
      </left>
      <right style="thin">
        <color rgb="00CBD5E1"/>
      </right>
      <top style="thin">
        <color rgb="00CBD5E1"/>
      </top>
      <bottom style="thin">
        <color rgb="00CBD5E1"/>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center" wrapText="1"/>
    </xf>
    <xf numFmtId="0" fontId="3" fillId="3" borderId="2" applyAlignment="1" pivotButton="0" quotePrefix="0" xfId="0">
      <alignment horizontal="left" vertical="center" wrapText="1"/>
    </xf>
    <xf numFmtId="0" fontId="4" fillId="3" borderId="2" applyAlignment="1" pivotButton="0" quotePrefix="0" xfId="0">
      <alignment horizontal="center" vertical="center" wrapText="1"/>
    </xf>
    <xf numFmtId="0" fontId="2" fillId="3" borderId="2" applyAlignment="1" pivotButton="0" quotePrefix="0" xfId="0">
      <alignment horizontal="left" vertical="center" wrapText="1"/>
    </xf>
    <xf numFmtId="0" fontId="3" fillId="3" borderId="2" applyAlignment="1" pivotButton="0" quotePrefix="0" xfId="0">
      <alignment horizontal="center" vertical="center" wrapText="1"/>
    </xf>
    <xf numFmtId="0" fontId="2" fillId="4" borderId="2" applyAlignment="1" pivotButton="0" quotePrefix="0" xfId="0">
      <alignment horizontal="center" vertical="center" wrapText="1"/>
    </xf>
    <xf numFmtId="0" fontId="3" fillId="4" borderId="2" applyAlignment="1" pivotButton="0" quotePrefix="0" xfId="0">
      <alignment horizontal="left" vertical="center" wrapText="1"/>
    </xf>
    <xf numFmtId="0" fontId="4" fillId="4" borderId="2" applyAlignment="1" pivotButton="0" quotePrefix="0" xfId="0">
      <alignment horizontal="center" vertical="center" wrapText="1"/>
    </xf>
    <xf numFmtId="0" fontId="2" fillId="4" borderId="2" applyAlignment="1" pivotButton="0" quotePrefix="0" xfId="0">
      <alignment horizontal="left" vertical="center" wrapText="1"/>
    </xf>
    <xf numFmtId="0" fontId="3" fillId="4" borderId="2" applyAlignment="1" pivotButton="0" quotePrefix="0" xfId="0">
      <alignment horizontal="center" vertical="center" wrapText="1"/>
    </xf>
    <xf numFmtId="0" fontId="5" fillId="0" borderId="0" applyAlignment="1" pivotButton="0" quotePrefix="0" xfId="0">
      <alignment horizontal="left" vertical="center"/>
    </xf>
    <xf numFmtId="0" fontId="4" fillId="0" borderId="0" applyAlignment="1" pivotButton="0" quotePrefix="0" xfId="0">
      <alignment horizontal="left" vertical="center"/>
    </xf>
    <xf numFmtId="0" fontId="6" fillId="5" borderId="2" applyAlignment="1" pivotButton="0" quotePrefix="0" xfId="0">
      <alignment horizontal="center" vertical="center" wrapText="1"/>
    </xf>
    <xf numFmtId="0" fontId="0" fillId="0" borderId="2" pivotButton="0" quotePrefix="0" xfId="0"/>
    <xf numFmtId="0" fontId="7" fillId="5" borderId="2" applyAlignment="1" pivotButton="0" quotePrefix="0" xfId="0">
      <alignment horizontal="center" vertical="center" wrapText="1"/>
    </xf>
    <xf numFmtId="0" fontId="8" fillId="0" borderId="0" pivotButton="0" quotePrefix="0" xfId="0"/>
    <xf numFmtId="164" fontId="2" fillId="3" borderId="2" applyAlignment="1" pivotButton="0" quotePrefix="0" xfId="0">
      <alignment horizontal="right" vertical="center" wrapText="1"/>
    </xf>
    <xf numFmtId="164" fontId="2" fillId="4" borderId="2" applyAlignment="1" pivotButton="0" quotePrefix="0" xfId="0">
      <alignment horizontal="right" vertical="center" wrapText="1"/>
    </xf>
    <xf numFmtId="0" fontId="3" fillId="6" borderId="1" applyAlignment="1" pivotButton="0" quotePrefix="0" xfId="0">
      <alignment horizontal="center" vertical="center" wrapText="1"/>
    </xf>
    <xf numFmtId="164" fontId="3" fillId="6" borderId="1" applyAlignment="1" pivotButton="0" quotePrefix="0" xfId="0">
      <alignment horizontal="right" vertical="center" wrapText="1"/>
    </xf>
    <xf numFmtId="0" fontId="3" fillId="6" borderId="1" applyAlignment="1" pivotButton="0" quotePrefix="0" xfId="0">
      <alignment horizontal="left" vertical="center" wrapText="1"/>
    </xf>
    <xf numFmtId="0" fontId="3" fillId="6" borderId="0" pivotButton="0" quotePrefix="0" xfId="0"/>
    <xf numFmtId="0" fontId="2" fillId="0" borderId="0" applyAlignment="1" pivotButton="0" quotePrefix="0" xfId="0">
      <alignment horizontal="left" vertical="center" wrapText="1"/>
    </xf>
  </cellXfs>
  <cellStyles count="1">
    <cellStyle name="Normal" xfId="0" builtinId="0" hidden="0"/>
  </cellStyles>
  <dxfs count="3">
    <dxf>
      <font>
        <name val="Segoe UI"/>
        <b val="1"/>
        <color rgb="0015803D"/>
        <sz val="10"/>
      </font>
      <fill>
        <patternFill patternType="solid">
          <fgColor rgb="00DCFCE7"/>
          <bgColor rgb="00DCFCE7"/>
        </patternFill>
      </fill>
    </dxf>
    <dxf>
      <font>
        <name val="Segoe UI"/>
        <b val="1"/>
        <color rgb="00A16207"/>
        <sz val="10"/>
      </font>
      <fill>
        <patternFill patternType="solid">
          <fgColor rgb="00FEF9C3"/>
          <bgColor rgb="00FEF9C3"/>
        </patternFill>
      </fill>
    </dxf>
    <dxf>
      <font>
        <name val="Segoe UI"/>
        <b val="1"/>
        <color rgb="00B91C1C"/>
        <sz val="10"/>
      </font>
      <fill>
        <patternFill patternType="solid">
          <fgColor rgb="00FEE2E2"/>
          <b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Số Lượng Từ Vựng Theo Từng Unit Lớp 10</a:t>
            </a:r>
          </a:p>
        </rich>
      </tx>
    </title>
    <plotArea>
      <barChart>
        <barDir val="col"/>
        <grouping val="clustered"/>
        <ser>
          <idx val="0"/>
          <order val="0"/>
          <tx>
            <strRef>
              <f>'Tổng Quan &amp; Thống Kê'!B9</f>
            </strRef>
          </tx>
          <spPr>
            <a:ln xmlns:a="http://schemas.openxmlformats.org/drawingml/2006/main">
              <a:prstDash val="solid"/>
            </a:ln>
          </spPr>
          <cat>
            <numRef>
              <f>'Tổng Quan &amp; Thống Kê'!$A$10:$A$19</f>
            </numRef>
          </cat>
          <val>
            <numRef>
              <f>'Tổng Quan &amp; Thống Kê'!$B$10:$B$19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Chủ đề</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Số lượng từ</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Tỷ Lệ Phân Bố Cấp Độ CEFR Lớp 10 (A2 - B1 - B2)</a:t>
            </a:r>
          </a:p>
        </rich>
      </tx>
    </title>
    <plotArea>
      <pieChart>
        <varyColors val="1"/>
        <ser>
          <idx val="0"/>
          <order val="0"/>
          <tx>
            <strRef>
              <f>'Tổng Quan &amp; Thống Kê'!G9</f>
            </strRef>
          </tx>
          <spPr>
            <a:ln xmlns:a="http://schemas.openxmlformats.org/drawingml/2006/main">
              <a:prstDash val="solid"/>
            </a:ln>
          </spPr>
          <cat>
            <numRef>
              <f>'Tổng Quan &amp; Thống Kê'!$F$10:$F$12</f>
            </numRef>
          </cat>
          <val>
            <numRef>
              <f>'Tổng Quan &amp; Thống Kê'!$G$10:$G$12</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21</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14</row>
      <rowOff>0</rowOff>
    </from>
    <ext cx="504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61"/>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16" customWidth="1" min="3" max="3"/>
    <col width="22" customWidth="1" min="4" max="4"/>
    <col width="38" customWidth="1" min="5" max="5"/>
    <col width="10" customWidth="1" min="6" max="6"/>
    <col width="50" customWidth="1" min="7" max="7"/>
    <col width="32" customWidth="1" min="8" max="8"/>
    <col width="28" customWidth="1" min="9" max="9"/>
    <col width="40" customWidth="1" min="10" max="10"/>
    <col width="42" customWidth="1" min="11" max="11"/>
  </cols>
  <sheetData>
    <row r="1" ht="28" customHeight="1">
      <c r="A1" s="1" t="inlineStr">
        <is>
          <t>Topic</t>
        </is>
      </c>
      <c r="B1" s="1" t="inlineStr">
        <is>
          <t>Term</t>
        </is>
      </c>
      <c r="C1" s="1" t="inlineStr">
        <is>
          <t>PartOfSpeech</t>
        </is>
      </c>
      <c r="D1" s="1" t="inlineStr">
        <is>
          <t>Phonetic</t>
        </is>
      </c>
      <c r="E1" s="1" t="inlineStr">
        <is>
          <t>Definition</t>
        </is>
      </c>
      <c r="F1" s="1" t="inlineStr">
        <is>
          <t>CEFR</t>
        </is>
      </c>
      <c r="G1" s="1" t="inlineStr">
        <is>
          <t>Example</t>
        </is>
      </c>
      <c r="H1" s="1" t="inlineStr">
        <is>
          <t>Synonyms</t>
        </is>
      </c>
      <c r="I1" s="1" t="inlineStr">
        <is>
          <t>Antonyms</t>
        </is>
      </c>
      <c r="J1" s="1" t="inlineStr">
        <is>
          <t>Collocations</t>
        </is>
      </c>
      <c r="K1" s="1" t="inlineStr">
        <is>
          <t>Note</t>
        </is>
      </c>
    </row>
    <row r="2" ht="42" customHeight="1">
      <c r="A2" s="2" t="inlineStr">
        <is>
          <t>Unit 1: Family Life</t>
        </is>
      </c>
      <c r="B2" s="3" t="inlineStr">
        <is>
          <t>breadwinner</t>
        </is>
      </c>
      <c r="C2" s="4" t="inlineStr">
        <is>
          <t>noun</t>
        </is>
      </c>
      <c r="D2" s="2" t="inlineStr">
        <is>
          <t>/ˈbredˌwɪn.ər/</t>
        </is>
      </c>
      <c r="E2" s="5" t="inlineStr">
        <is>
          <t>Trụ cột gia đình (người kiếm tiền chính nuôi sống gia đình)</t>
        </is>
      </c>
      <c r="F2" s="6" t="inlineStr">
        <is>
          <t>B2</t>
        </is>
      </c>
      <c r="G2" s="5" t="inlineStr">
        <is>
          <t>In many modern families, both the husband and wife are equal breadwinners.</t>
        </is>
      </c>
      <c r="H2" s="5" t="inlineStr">
        <is>
          <t>primary earner, sole provider</t>
        </is>
      </c>
      <c r="I2" s="5" t="inlineStr">
        <is>
          <t>dependent, dependent child</t>
        </is>
      </c>
      <c r="J2" s="5" t="inlineStr">
        <is>
          <t>sole breadwinner, main breadwinner, act as the breadwinner</t>
        </is>
      </c>
      <c r="K2" s="5" t="inlineStr">
        <is>
          <t>Ghép từ 'bread' (bánh mì/kế sinh nhai) + 'winner' (người kiếm về).</t>
        </is>
      </c>
    </row>
    <row r="3" ht="42" customHeight="1">
      <c r="A3" s="7" t="inlineStr">
        <is>
          <t>Unit 1: Family Life</t>
        </is>
      </c>
      <c r="B3" s="8" t="inlineStr">
        <is>
          <t>homemaker</t>
        </is>
      </c>
      <c r="C3" s="9" t="inlineStr">
        <is>
          <t>noun</t>
        </is>
      </c>
      <c r="D3" s="7" t="inlineStr">
        <is>
          <t>/ˈhəʊmˌmeɪ.kər/</t>
        </is>
      </c>
      <c r="E3" s="10" t="inlineStr">
        <is>
          <t>Người nội trợ (người quán xuyến việc nhà và chăm sóc con cái)</t>
        </is>
      </c>
      <c r="F3" s="11" t="inlineStr">
        <is>
          <t>B1</t>
        </is>
      </c>
      <c r="G3" s="10" t="inlineStr">
        <is>
          <t>Being a full-time homemaker requires patience, organization, and dedication.</t>
        </is>
      </c>
      <c r="H3" s="10" t="inlineStr">
        <is>
          <t>housewife, househusband, caregiver</t>
        </is>
      </c>
      <c r="I3" s="10" t="inlineStr">
        <is>
          <t>breadwinner, office worker</t>
        </is>
      </c>
      <c r="J3" s="10" t="inlineStr">
        <is>
          <t>full-time homemaker, skilled homemaker, work as a homemaker</t>
        </is>
      </c>
      <c r="K3" s="10" t="inlineStr">
        <is>
          <t>Từ trung tính giới, thay thế cho từ 'housewife' truyền thống.</t>
        </is>
      </c>
    </row>
    <row r="4" ht="42" customHeight="1">
      <c r="A4" s="2" t="inlineStr">
        <is>
          <t>Unit 1: Family Life</t>
        </is>
      </c>
      <c r="B4" s="3" t="inlineStr">
        <is>
          <t>heavy lifting</t>
        </is>
      </c>
      <c r="C4" s="4" t="inlineStr">
        <is>
          <t>noun phrase</t>
        </is>
      </c>
      <c r="D4" s="2" t="inlineStr">
        <is>
          <t>/ˌhev.i ˈlɪf.tɪŋ/</t>
        </is>
      </c>
      <c r="E4" s="5" t="inlineStr">
        <is>
          <t>Công việc nặng nhọc, mang vác đồ nặng trong gia đình</t>
        </is>
      </c>
      <c r="F4" s="6" t="inlineStr">
        <is>
          <t>B1</t>
        </is>
      </c>
      <c r="G4" s="5" t="inlineStr">
        <is>
          <t>My brother often helps my parents with the heavy lifting around the house.</t>
        </is>
      </c>
      <c r="H4" s="5" t="inlineStr">
        <is>
          <t>strenuous work, hard physical labor</t>
        </is>
      </c>
      <c r="I4" s="5" t="inlineStr">
        <is>
          <t>light duty, easy chore</t>
        </is>
      </c>
      <c r="J4" s="5" t="inlineStr">
        <is>
          <t>do the heavy lifting, assist with heavy lifting</t>
        </is>
      </c>
      <c r="K4" s="5" t="inlineStr">
        <is>
          <t>Nghĩa bóng: giải quyết phần công việc gian nan nhất trong một dự án.</t>
        </is>
      </c>
    </row>
    <row r="5" ht="42" customHeight="1">
      <c r="A5" s="7" t="inlineStr">
        <is>
          <t>Unit 1: Family Life</t>
        </is>
      </c>
      <c r="B5" s="8" t="inlineStr">
        <is>
          <t>financial burden</t>
        </is>
      </c>
      <c r="C5" s="9" t="inlineStr">
        <is>
          <t>noun phrase</t>
        </is>
      </c>
      <c r="D5" s="7" t="inlineStr">
        <is>
          <t>/faɪˈnæn.ʃəl ˈbɜː.dən/</t>
        </is>
      </c>
      <c r="E5" s="10" t="inlineStr">
        <is>
          <t>Gánh nặng tài chính, áp lực tiền bạc nuôi sống gia đình</t>
        </is>
      </c>
      <c r="F5" s="11" t="inlineStr">
        <is>
          <t>B2</t>
        </is>
      </c>
      <c r="G5" s="10" t="inlineStr">
        <is>
          <t>Sharing living expenses helps ease the financial burden on parents.</t>
        </is>
      </c>
      <c r="H5" s="10" t="inlineStr">
        <is>
          <t>economic pressure, monetary strain</t>
        </is>
      </c>
      <c r="I5" s="10" t="inlineStr">
        <is>
          <t>financial freedom, financial ease</t>
        </is>
      </c>
      <c r="J5" s="10" t="inlineStr">
        <is>
          <t>ease the financial burden, shoulder the financial burden, heavy financial burden</t>
        </is>
      </c>
      <c r="K5" s="10" t="inlineStr">
        <is>
          <t>Động từ đi kèm: ease / relieve (giảm bớt), shoulder / bear (gánh vác).</t>
        </is>
      </c>
    </row>
    <row r="6" ht="42" customHeight="1">
      <c r="A6" s="2" t="inlineStr">
        <is>
          <t>Unit 1: Family Life</t>
        </is>
      </c>
      <c r="B6" s="3" t="inlineStr">
        <is>
          <t>split chores</t>
        </is>
      </c>
      <c r="C6" s="4" t="inlineStr">
        <is>
          <t>verb phrase</t>
        </is>
      </c>
      <c r="D6" s="2" t="inlineStr">
        <is>
          <t>/splɪt tʃɔːz/</t>
        </is>
      </c>
      <c r="E6" s="5" t="inlineStr">
        <is>
          <t>Phân chia công việc nhà đều đặn giữa các thành viên</t>
        </is>
      </c>
      <c r="F6" s="6" t="inlineStr">
        <is>
          <t>B1</t>
        </is>
      </c>
      <c r="G6" s="5" t="inlineStr">
        <is>
          <t>Happy families often split household chores equally between all members.</t>
        </is>
      </c>
      <c r="H6" s="5" t="inlineStr">
        <is>
          <t>divide household chores, share domestic duties</t>
        </is>
      </c>
      <c r="I6" s="5" t="inlineStr">
        <is>
          <t>leave all chores to one person</t>
        </is>
      </c>
      <c r="J6" s="5" t="inlineStr">
        <is>
          <t>split chores equally, agree to split chores, chore allocation</t>
        </is>
      </c>
      <c r="K6" s="5" t="inlineStr">
        <is>
          <t>'Split' có quá khứ và phân từ hai đều là 'split'.</t>
        </is>
      </c>
    </row>
    <row r="7" ht="42" customHeight="1">
      <c r="A7" s="7" t="inlineStr">
        <is>
          <t>Unit 1: Family Life</t>
        </is>
      </c>
      <c r="B7" s="8" t="inlineStr">
        <is>
          <t>gratitude</t>
        </is>
      </c>
      <c r="C7" s="9" t="inlineStr">
        <is>
          <t>noun</t>
        </is>
      </c>
      <c r="D7" s="7" t="inlineStr">
        <is>
          <t>/ˈɡræt.ɪ.tʃuːd/</t>
        </is>
      </c>
      <c r="E7" s="10" t="inlineStr">
        <is>
          <t>Lòng biết ơn, sự tri ân sâu sắc đối với cha mẹ và người thân</t>
        </is>
      </c>
      <c r="F7" s="11" t="inlineStr">
        <is>
          <t>B2</t>
        </is>
      </c>
      <c r="G7" s="10" t="inlineStr">
        <is>
          <t>Children should express their heartfelt gratitude to parents for their unconditional care.</t>
        </is>
      </c>
      <c r="H7" s="10" t="inlineStr">
        <is>
          <t>thankfulness, appreciation, gratefulness</t>
        </is>
      </c>
      <c r="I7" s="10" t="inlineStr">
        <is>
          <t>ingratitude, ungratefulness</t>
        </is>
      </c>
      <c r="J7" s="10" t="inlineStr">
        <is>
          <t>express gratitude, show gratitude, deep gratitude, feeling of gratitude</t>
        </is>
      </c>
      <c r="K7" s="10" t="inlineStr">
        <is>
          <t>Tính từ là 'grateful' (grateful to someone for something).</t>
        </is>
      </c>
    </row>
    <row r="8" ht="42" customHeight="1">
      <c r="A8" s="2" t="inlineStr">
        <is>
          <t>Unit 2: Humans &amp; Environment</t>
        </is>
      </c>
      <c r="B8" s="3" t="inlineStr">
        <is>
          <t>carbon footprint</t>
        </is>
      </c>
      <c r="C8" s="4" t="inlineStr">
        <is>
          <t>noun phrase</t>
        </is>
      </c>
      <c r="D8" s="2" t="inlineStr">
        <is>
          <t>/ˌkɑː.bən ˈfʊt.prɪnt/</t>
        </is>
      </c>
      <c r="E8" s="5" t="inlineStr">
        <is>
          <t>Dấu chân carbon (tổng lượng khí nhà kính sinh ra từ hoạt động con người)</t>
        </is>
      </c>
      <c r="F8" s="6" t="inlineStr">
        <is>
          <t>B2</t>
        </is>
      </c>
      <c r="G8" s="5" t="inlineStr">
        <is>
          <t>Commuting by public transport is an effective way to minimize your carbon footprint.</t>
        </is>
      </c>
      <c r="H8" s="5" t="inlineStr">
        <is>
          <t>greenhouse gas emission, carbon output</t>
        </is>
      </c>
      <c r="I8" s="5" t="inlineStr">
        <is>
          <t>zero emission</t>
        </is>
      </c>
      <c r="J8" s="5" t="inlineStr">
        <is>
          <t>reduce carbon footprint, calculate carbon footprint, zero carbon footprint</t>
        </is>
      </c>
      <c r="K8" s="5" t="inlineStr">
        <is>
          <t>Thuật ngữ sinh thái trọng tâm trong kỳ thi tốt nghiệp và kiểm tra 10.</t>
        </is>
      </c>
    </row>
    <row r="9" ht="42" customHeight="1">
      <c r="A9" s="7" t="inlineStr">
        <is>
          <t>Unit 2: Humans &amp; Environment</t>
        </is>
      </c>
      <c r="B9" s="8" t="inlineStr">
        <is>
          <t>eco-friendly</t>
        </is>
      </c>
      <c r="C9" s="9" t="inlineStr">
        <is>
          <t>adjective</t>
        </is>
      </c>
      <c r="D9" s="7" t="inlineStr">
        <is>
          <t>/ˌiː.kəʊˈfrend.li/</t>
        </is>
      </c>
      <c r="E9" s="10" t="inlineStr">
        <is>
          <t>Thân thiện với môi trường, không gây tổn hại hệ sinh thái</t>
        </is>
      </c>
      <c r="F9" s="11" t="inlineStr">
        <is>
          <t>B1</t>
        </is>
      </c>
      <c r="G9" s="10" t="inlineStr">
        <is>
          <t>More consumers are turning to eco-friendly products to reduce plastic pollution.</t>
        </is>
      </c>
      <c r="H9" s="10" t="inlineStr">
        <is>
          <t>environmentally friendly, green, sustainable</t>
        </is>
      </c>
      <c r="I9" s="10" t="inlineStr">
        <is>
          <t>polluting, harmful to the environment</t>
        </is>
      </c>
      <c r="J9" s="10" t="inlineStr">
        <is>
          <t>eco-friendly lifestyle, eco-friendly packaging, eco-friendly materials</t>
        </is>
      </c>
      <c r="K9" s="10" t="inlineStr">
        <is>
          <t>Tính từ ghép có gạch nối, thường đứng trước danh từ.</t>
        </is>
      </c>
    </row>
    <row r="10" ht="42" customHeight="1">
      <c r="A10" s="2" t="inlineStr">
        <is>
          <t>Unit 2: Humans &amp; Environment</t>
        </is>
      </c>
      <c r="B10" s="3" t="inlineStr">
        <is>
          <t>biodegradable</t>
        </is>
      </c>
      <c r="C10" s="4" t="inlineStr">
        <is>
          <t>adjective</t>
        </is>
      </c>
      <c r="D10" s="2" t="inlineStr">
        <is>
          <t>/ˌbaɪ.əʊ.dɪˈɡreɪ.də.bəl/</t>
        </is>
      </c>
      <c r="E10" s="5" t="inlineStr">
        <is>
          <t>Có thể tự phân hủy sinh học một cách tự nhiên</t>
        </is>
      </c>
      <c r="F10" s="6" t="inlineStr">
        <is>
          <t>B2</t>
        </is>
      </c>
      <c r="G10" s="5" t="inlineStr">
        <is>
          <t>Supermarkets should replace nylon bags with biodegradable paper containers.</t>
        </is>
      </c>
      <c r="H10" s="5" t="inlineStr">
        <is>
          <t>decomposable, compostable</t>
        </is>
      </c>
      <c r="I10" s="5" t="inlineStr">
        <is>
          <t>non-biodegradable, indestructible</t>
        </is>
      </c>
      <c r="J10" s="5" t="inlineStr">
        <is>
          <t>biodegradable waste, biodegradable plastic, 100% biodegradable</t>
        </is>
      </c>
      <c r="K10" s="5" t="inlineStr">
        <is>
          <t>Tiền tố bio- (sinh học) + degrade (phân hủy) + -able (có thể).</t>
        </is>
      </c>
    </row>
    <row r="11" ht="42" customHeight="1">
      <c r="A11" s="7" t="inlineStr">
        <is>
          <t>Unit 2: Humans &amp; Environment</t>
        </is>
      </c>
      <c r="B11" s="8" t="inlineStr">
        <is>
          <t>greenhouse effect</t>
        </is>
      </c>
      <c r="C11" s="9" t="inlineStr">
        <is>
          <t>noun phrase</t>
        </is>
      </c>
      <c r="D11" s="7" t="inlineStr">
        <is>
          <t>/ˈɡriːn.haʊs ɪˌfekt/</t>
        </is>
      </c>
      <c r="E11" s="10" t="inlineStr">
        <is>
          <t>Hiệu ứng nhà kính (hiện tượng làm Trái Đất ấm dần lên)</t>
        </is>
      </c>
      <c r="F11" s="11" t="inlineStr">
        <is>
          <t>B1</t>
        </is>
      </c>
      <c r="G11" s="10" t="inlineStr">
        <is>
          <t>Excessive burning of fossil fuels intensifies the greenhouse effect globally.</t>
        </is>
      </c>
      <c r="H11" s="10" t="inlineStr">
        <is>
          <t>global warming phenomenon, thermal entrapment</t>
        </is>
      </c>
      <c r="I11" s="10" t="inlineStr">
        <is>
          <t>N/A</t>
        </is>
      </c>
      <c r="J11" s="10" t="inlineStr">
        <is>
          <t>intensify the greenhouse effect, greenhouse effect gases, cause the greenhouse effect</t>
        </is>
      </c>
      <c r="K11" s="10" t="inlineStr">
        <is>
          <t>Phân biệt 'greenhouse effect' (hiệu ứng) và 'greenhouse gases' (khí nhà kính).</t>
        </is>
      </c>
    </row>
    <row r="12" ht="42" customHeight="1">
      <c r="A12" s="2" t="inlineStr">
        <is>
          <t>Unit 2: Humans &amp; Environment</t>
        </is>
      </c>
      <c r="B12" s="3" t="inlineStr">
        <is>
          <t>energy-efficient</t>
        </is>
      </c>
      <c r="C12" s="4" t="inlineStr">
        <is>
          <t>adjective</t>
        </is>
      </c>
      <c r="D12" s="2" t="inlineStr">
        <is>
          <t>/ˌen.ə.dʒi.ɪˈfɪʃ.ənt/</t>
        </is>
      </c>
      <c r="E12" s="5" t="inlineStr">
        <is>
          <t>Tiết kiệm năng lượng, hiệu suất năng lượng cao</t>
        </is>
      </c>
      <c r="F12" s="6" t="inlineStr">
        <is>
          <t>B2</t>
        </is>
      </c>
      <c r="G12" s="5" t="inlineStr">
        <is>
          <t>Installing energy-efficient LED bulbs cuts down electricity bills significantly.</t>
        </is>
      </c>
      <c r="H12" s="5" t="inlineStr">
        <is>
          <t>power-saving, energy-saving, low-consumption</t>
        </is>
      </c>
      <c r="I12" s="5" t="inlineStr">
        <is>
          <t>energy-wasting, inefficient</t>
        </is>
      </c>
      <c r="J12" s="5" t="inlineStr">
        <is>
          <t>energy-efficient appliances, energy-efficient building, energy-efficient technology</t>
        </is>
      </c>
      <c r="K12" s="5" t="inlineStr">
        <is>
          <t>Danh từ tương ứng: 'energy efficiency' (hiệu quả sử dụng năng lượng).</t>
        </is>
      </c>
    </row>
    <row r="13" ht="42" customHeight="1">
      <c r="A13" s="7" t="inlineStr">
        <is>
          <t>Unit 2: Humans &amp; Environment</t>
        </is>
      </c>
      <c r="B13" s="8" t="inlineStr">
        <is>
          <t>sustainable</t>
        </is>
      </c>
      <c r="C13" s="9" t="inlineStr">
        <is>
          <t>adjective</t>
        </is>
      </c>
      <c r="D13" s="7" t="inlineStr">
        <is>
          <t>/səˈsteɪ.nə.bəl/</t>
        </is>
      </c>
      <c r="E13" s="10" t="inlineStr">
        <is>
          <t>Bền vững (phát triển không làm cạn kiệt tài nguyên tương lai)</t>
        </is>
      </c>
      <c r="F13" s="11" t="inlineStr">
        <is>
          <t>B2</t>
        </is>
      </c>
      <c r="G13" s="10" t="inlineStr">
        <is>
          <t>We need to promote sustainable agricultural practices to protect the topsoil.</t>
        </is>
      </c>
      <c r="H13" s="10" t="inlineStr">
        <is>
          <t>renewable, eco-friendly, maintainable</t>
        </is>
      </c>
      <c r="I13" s="10" t="inlineStr">
        <is>
          <t>unsustainable, wasteful, destructive</t>
        </is>
      </c>
      <c r="J13" s="10" t="inlineStr">
        <is>
          <t>sustainable development, sustainable lifestyle, sustainable energy</t>
        </is>
      </c>
      <c r="K13" s="10" t="inlineStr">
        <is>
          <t>Danh từ là 'sustainability'. Khái niệm then chốt của thế kỷ 21.</t>
        </is>
      </c>
    </row>
    <row r="14" ht="42" customHeight="1">
      <c r="A14" s="2" t="inlineStr">
        <is>
          <t>Unit 3: Music</t>
        </is>
      </c>
      <c r="B14" s="3" t="inlineStr">
        <is>
          <t>compose</t>
        </is>
      </c>
      <c r="C14" s="4" t="inlineStr">
        <is>
          <t>verb</t>
        </is>
      </c>
      <c r="D14" s="2" t="inlineStr">
        <is>
          <t>/kəmˈpəʊz/</t>
        </is>
      </c>
      <c r="E14" s="5" t="inlineStr">
        <is>
          <t>Sáng tác (bản nhạc, ca khúc, tác phẩm nghệ thuật)</t>
        </is>
      </c>
      <c r="F14" s="6" t="inlineStr">
        <is>
          <t>B1</t>
        </is>
      </c>
      <c r="G14" s="5" t="inlineStr">
        <is>
          <t>Trinh Cong Son composed many immortal love songs and anti-war ballads.</t>
        </is>
      </c>
      <c r="H14" s="5" t="inlineStr">
        <is>
          <t>create, write, produce, orchestrate</t>
        </is>
      </c>
      <c r="I14" s="5" t="inlineStr">
        <is>
          <t>plagiarize, destroy</t>
        </is>
      </c>
      <c r="J14" s="5" t="inlineStr">
        <is>
          <t>compose music, compose a song, compose a symphony</t>
        </is>
      </c>
      <c r="K14" s="5" t="inlineStr">
        <is>
          <t>Danh từ: composer (nhạc sĩ sáng tác), composition (tác phẩm).</t>
        </is>
      </c>
    </row>
    <row r="15" ht="42" customHeight="1">
      <c r="A15" s="7" t="inlineStr">
        <is>
          <t>Unit 3: Music</t>
        </is>
      </c>
      <c r="B15" s="8" t="inlineStr">
        <is>
          <t>audition</t>
        </is>
      </c>
      <c r="C15" s="9" t="inlineStr">
        <is>
          <t>noun/verb</t>
        </is>
      </c>
      <c r="D15" s="7" t="inlineStr">
        <is>
          <t>/ɔːˈdɪʃ.ən/</t>
        </is>
      </c>
      <c r="E15" s="10" t="inlineStr">
        <is>
          <t>Buổi thử giọng, thi tuyển năng khiếu / Thử giọng thi tuyển</t>
        </is>
      </c>
      <c r="F15" s="11" t="inlineStr">
        <is>
          <t>B1</t>
        </is>
      </c>
      <c r="G15" s="10" t="inlineStr">
        <is>
          <t>Hundreds of young singers queued up to audition for the singing reality show.</t>
        </is>
      </c>
      <c r="H15" s="10" t="inlineStr">
        <is>
          <t>tryout, trial performance, screen test</t>
        </is>
      </c>
      <c r="I15" s="10" t="inlineStr">
        <is>
          <t>N/A</t>
        </is>
      </c>
      <c r="J15" s="10" t="inlineStr">
        <is>
          <t>pass the audition, hold an audition, audition for a role</t>
        </is>
      </c>
      <c r="K15" s="10" t="inlineStr">
        <is>
          <t>Trọng âm 2: au-DI-tion.</t>
        </is>
      </c>
    </row>
    <row r="16" ht="42" customHeight="1">
      <c r="A16" s="2" t="inlineStr">
        <is>
          <t>Unit 3: Music</t>
        </is>
      </c>
      <c r="B16" s="3" t="inlineStr">
        <is>
          <t>talented</t>
        </is>
      </c>
      <c r="C16" s="4" t="inlineStr">
        <is>
          <t>adjective</t>
        </is>
      </c>
      <c r="D16" s="2" t="inlineStr">
        <is>
          <t>/ˈtæl.ən.tɪd/</t>
        </is>
      </c>
      <c r="E16" s="5" t="inlineStr">
        <is>
          <t>Có tài năng, năng khiếu xuất sắc trong lĩnh vực nào đó</t>
        </is>
      </c>
      <c r="F16" s="6" t="inlineStr">
        <is>
          <t>A2</t>
        </is>
      </c>
      <c r="G16" s="5" t="inlineStr">
        <is>
          <t>She is a exceptionally talented pianist who won international competitions at age 12.</t>
        </is>
      </c>
      <c r="H16" s="5" t="inlineStr">
        <is>
          <t>gifted, skilled, accomplished, genius</t>
        </is>
      </c>
      <c r="I16" s="5" t="inlineStr">
        <is>
          <t>untalented, clumsy, amateur</t>
        </is>
      </c>
      <c r="J16" s="5" t="inlineStr">
        <is>
          <t>talented musician, highly talented, exceptionally talented</t>
        </is>
      </c>
      <c r="K16" s="5" t="inlineStr">
        <is>
          <t>Cấu trúc: be talented at / in something.</t>
        </is>
      </c>
    </row>
    <row r="17" ht="42" customHeight="1">
      <c r="A17" s="7" t="inlineStr">
        <is>
          <t>Unit 3: Music</t>
        </is>
      </c>
      <c r="B17" s="8" t="inlineStr">
        <is>
          <t>phenomenon</t>
        </is>
      </c>
      <c r="C17" s="9" t="inlineStr">
        <is>
          <t>noun</t>
        </is>
      </c>
      <c r="D17" s="7" t="inlineStr">
        <is>
          <t>/fəˈnɒm.ɪ.nən/</t>
        </is>
      </c>
      <c r="E17" s="10" t="inlineStr">
        <is>
          <t>Hiện tượng đặc biệt, người/sự kiện nổi bật gây chấn động</t>
        </is>
      </c>
      <c r="F17" s="11" t="inlineStr">
        <is>
          <t>B2</t>
        </is>
      </c>
      <c r="G17" s="10" t="inlineStr">
        <is>
          <t>The band became a global cultural phenomenon almost overnight.</t>
        </is>
      </c>
      <c r="H17" s="10" t="inlineStr">
        <is>
          <t>sensation, marvel, trend, wonder</t>
        </is>
      </c>
      <c r="I17" s="10" t="inlineStr">
        <is>
          <t>commonplace, standard</t>
        </is>
      </c>
      <c r="J17" s="10" t="inlineStr">
        <is>
          <t>global phenomenon, cultural phenomenon, musical phenomenon</t>
        </is>
      </c>
      <c r="K17" s="10" t="inlineStr">
        <is>
          <t>Số nhiều là 'phenomena' /fəˈnɒm.ɪ.nə/. Tính từ: phenomenal.</t>
        </is>
      </c>
    </row>
    <row r="18" ht="42" customHeight="1">
      <c r="A18" s="2" t="inlineStr">
        <is>
          <t>Unit 3: Music</t>
        </is>
      </c>
      <c r="B18" s="3" t="inlineStr">
        <is>
          <t>live performance</t>
        </is>
      </c>
      <c r="C18" s="4" t="inlineStr">
        <is>
          <t>noun phrase</t>
        </is>
      </c>
      <c r="D18" s="2" t="inlineStr">
        <is>
          <t>/laɪv pəˈfɔː.məns/</t>
        </is>
      </c>
      <c r="E18" s="5" t="inlineStr">
        <is>
          <t>Buổi biểu diễn trực tiếp (trên sân khấu, trước khán giả)</t>
        </is>
      </c>
      <c r="F18" s="6" t="inlineStr">
        <is>
          <t>B1</t>
        </is>
      </c>
      <c r="G18" s="5" t="inlineStr">
        <is>
          <t>Attending a live performance of your favorite band is an unforgettable experience.</t>
        </is>
      </c>
      <c r="H18" s="5" t="inlineStr">
        <is>
          <t>live show, concert, stage gig</t>
        </is>
      </c>
      <c r="I18" s="5" t="inlineStr">
        <is>
          <t>recorded broadcast, studio playback</t>
        </is>
      </c>
      <c r="J18" s="5" t="inlineStr">
        <is>
          <t>give a live performance, watch a live performance, captivating live performance</t>
        </is>
      </c>
      <c r="K18" s="5" t="inlineStr">
        <is>
          <t>'Live' ở đây phát âm là /laɪv/ (tính từ/trạng từ).</t>
        </is>
      </c>
    </row>
    <row r="19" ht="42" customHeight="1">
      <c r="A19" s="7" t="inlineStr">
        <is>
          <t>Unit 3: Music</t>
        </is>
      </c>
      <c r="B19" s="8" t="inlineStr">
        <is>
          <t>judge</t>
        </is>
      </c>
      <c r="C19" s="9" t="inlineStr">
        <is>
          <t>noun/verb</t>
        </is>
      </c>
      <c r="D19" s="7" t="inlineStr">
        <is>
          <t>/dʒʌdʒ/</t>
        </is>
      </c>
      <c r="E19" s="10" t="inlineStr">
        <is>
          <t>Giám khảo, người chấm giải / Đánh giá, thẩm định chất lượng</t>
        </is>
      </c>
      <c r="F19" s="11" t="inlineStr">
        <is>
          <t>B1</t>
        </is>
      </c>
      <c r="G19" s="10" t="inlineStr">
        <is>
          <t>The panel of judges gave constructive feedback to all contestants.</t>
        </is>
      </c>
      <c r="H19" s="10" t="inlineStr">
        <is>
          <t>evaluator, referee, assessor; evaluate, assess</t>
        </is>
      </c>
      <c r="I19" s="10" t="inlineStr">
        <is>
          <t>contestant, participant</t>
        </is>
      </c>
      <c r="J19" s="10" t="inlineStr">
        <is>
          <t>panel of judges, judge fairly, judge a competition</t>
        </is>
      </c>
      <c r="K19" s="10" t="inlineStr">
        <is>
          <t>Danh từ 'judgment' / 'judgement' (sự phán đoán, đánh giá).</t>
        </is>
      </c>
    </row>
    <row r="20" ht="42" customHeight="1">
      <c r="A20" s="2" t="inlineStr">
        <is>
          <t>Unit 4: For a Better Community</t>
        </is>
      </c>
      <c r="B20" s="3" t="inlineStr">
        <is>
          <t>underprivileged</t>
        </is>
      </c>
      <c r="C20" s="4" t="inlineStr">
        <is>
          <t>adjective</t>
        </is>
      </c>
      <c r="D20" s="2" t="inlineStr">
        <is>
          <t>/ˌʌn.dəˈprɪv.əl.ɪdʒd/</t>
        </is>
      </c>
      <c r="E20" s="5" t="inlineStr">
        <is>
          <t>Thiệt thòi, có hoàn cảnh khó khăn về kinh tế - xã hội</t>
        </is>
      </c>
      <c r="F20" s="6" t="inlineStr">
        <is>
          <t>B2</t>
        </is>
      </c>
      <c r="G20" s="5" t="inlineStr">
        <is>
          <t>Volunteers organized free evening classes for underprivileged children in rural areas.</t>
        </is>
      </c>
      <c r="H20" s="5" t="inlineStr">
        <is>
          <t>disadvantaged, deprived, needy, impoverished</t>
        </is>
      </c>
      <c r="I20" s="5" t="inlineStr">
        <is>
          <t>privileged, wealthy, affluent</t>
        </is>
      </c>
      <c r="J20" s="5" t="inlineStr">
        <is>
          <t>underprivileged children, underprivileged background, support underprivileged families</t>
        </is>
      </c>
      <c r="K20" s="5" t="inlineStr">
        <is>
          <t>Trọng âm rơi vào âm tiết 3: un-der-PRIV-i-leged.</t>
        </is>
      </c>
    </row>
    <row r="21" ht="42" customHeight="1">
      <c r="A21" s="7" t="inlineStr">
        <is>
          <t>Unit 4: For a Better Community</t>
        </is>
      </c>
      <c r="B21" s="8" t="inlineStr">
        <is>
          <t>donate</t>
        </is>
      </c>
      <c r="C21" s="9" t="inlineStr">
        <is>
          <t>verb</t>
        </is>
      </c>
      <c r="D21" s="7" t="inlineStr">
        <is>
          <t>/dəʊˈneɪt/</t>
        </is>
      </c>
      <c r="E21" s="10" t="inlineStr">
        <is>
          <t>Quyên góp, hiến tặng tiền của, vật phẩm hoặc máu</t>
        </is>
      </c>
      <c r="F21" s="11" t="inlineStr">
        <is>
          <t>B1</t>
        </is>
      </c>
      <c r="G21" s="10" t="inlineStr">
        <is>
          <t>Students decided to donate their old textbooks and clothes to flood victims.</t>
        </is>
      </c>
      <c r="H21" s="10" t="inlineStr">
        <is>
          <t>contribute, give away, grant, bestow</t>
        </is>
      </c>
      <c r="I21" s="10" t="inlineStr">
        <is>
          <t>receive, keep, withhold</t>
        </is>
      </c>
      <c r="J21" s="10" t="inlineStr">
        <is>
          <t>donate money to charity, donate blood, generous donation</t>
        </is>
      </c>
      <c r="K21" s="10" t="inlineStr">
        <is>
          <t>Danh từ là 'donation' /dəʊˈneɪ.ʃən/. Người quyên góp: 'donor'.</t>
        </is>
      </c>
    </row>
    <row r="22" ht="42" customHeight="1">
      <c r="A22" s="2" t="inlineStr">
        <is>
          <t>Unit 4: For a Better Community</t>
        </is>
      </c>
      <c r="B22" s="3" t="inlineStr">
        <is>
          <t>community service</t>
        </is>
      </c>
      <c r="C22" s="4" t="inlineStr">
        <is>
          <t>noun phrase</t>
        </is>
      </c>
      <c r="D22" s="2" t="inlineStr">
        <is>
          <t>/kəˈmjuː.nə.ti ˌsɜː.vɪs/</t>
        </is>
      </c>
      <c r="E22" s="5" t="inlineStr">
        <is>
          <t>Dịch vụ cộng đồng, hoạt động lao động công ích tình nguyện</t>
        </is>
      </c>
      <c r="F22" s="6" t="inlineStr">
        <is>
          <t>B1</t>
        </is>
      </c>
      <c r="G22" s="5" t="inlineStr">
        <is>
          <t>Participating in community service helps students develop leadership and empathy.</t>
        </is>
      </c>
      <c r="H22" s="5" t="inlineStr">
        <is>
          <t>voluntary work, public service, civic engagement</t>
        </is>
      </c>
      <c r="I22" s="5" t="inlineStr">
        <is>
          <t>selfish behavior</t>
        </is>
      </c>
      <c r="J22" s="5" t="inlineStr">
        <is>
          <t>do community service, perform community service, community service project</t>
        </is>
      </c>
      <c r="K22" s="5" t="inlineStr">
        <is>
          <t>Hoạt động ngoại khóa quan trọng trong hồ sơ du học và học bổng.</t>
        </is>
      </c>
    </row>
    <row r="23" ht="42" customHeight="1">
      <c r="A23" s="7" t="inlineStr">
        <is>
          <t>Unit 4: For a Better Community</t>
        </is>
      </c>
      <c r="B23" s="8" t="inlineStr">
        <is>
          <t>non-profit organization</t>
        </is>
      </c>
      <c r="C23" s="9" t="inlineStr">
        <is>
          <t>noun phrase</t>
        </is>
      </c>
      <c r="D23" s="7" t="inlineStr">
        <is>
          <t>/ˌnɒnˈprɒf.ɪt ˌɔː.ɡən.aɪˈzeɪ.ʃən/</t>
        </is>
      </c>
      <c r="E23" s="10" t="inlineStr">
        <is>
          <t>Tổ chức phi lợi nhuận (hoạt động vì mục đích từ thiện/xã hội)</t>
        </is>
      </c>
      <c r="F23" s="11" t="inlineStr">
        <is>
          <t>B2</t>
        </is>
      </c>
      <c r="G23" s="10" t="inlineStr">
        <is>
          <t>The non-profit organization provides clean drinking water to remote villages.</t>
        </is>
      </c>
      <c r="H23" s="10" t="inlineStr">
        <is>
          <t>NGO, charitable organization, NGO group</t>
        </is>
      </c>
      <c r="I23" s="10" t="inlineStr">
        <is>
          <t>for-profit corporation, commercial enterprise</t>
        </is>
      </c>
      <c r="J23" s="10" t="inlineStr">
        <is>
          <t>run a non-profit organization, work for a non-profit organization</t>
        </is>
      </c>
      <c r="K23" s="10" t="inlineStr">
        <is>
          <t>Viết tắt là NPO. Có thể viết nối: non-profit hoặc nonprofit.</t>
        </is>
      </c>
    </row>
    <row r="24" ht="42" customHeight="1">
      <c r="A24" s="2" t="inlineStr">
        <is>
          <t>Unit 4: For a Better Community</t>
        </is>
      </c>
      <c r="B24" s="3" t="inlineStr">
        <is>
          <t>disability</t>
        </is>
      </c>
      <c r="C24" s="4" t="inlineStr">
        <is>
          <t>noun</t>
        </is>
      </c>
      <c r="D24" s="2" t="inlineStr">
        <is>
          <t>/ˌdɪs.əˈbɪl.ə.ti/</t>
        </is>
      </c>
      <c r="E24" s="5" t="inlineStr">
        <is>
          <t>Sự khuyết tật, khiếm khuyết về thể chất hoặc tinh thần</t>
        </is>
      </c>
      <c r="F24" s="6" t="inlineStr">
        <is>
          <t>B1</t>
        </is>
      </c>
      <c r="G24" s="5" t="inlineStr">
        <is>
          <t>Public buildings should have ramps to improve accessibility for people with disabilities.</t>
        </is>
      </c>
      <c r="H24" s="5" t="inlineStr">
        <is>
          <t>impairment, handicap, physical limitation</t>
        </is>
      </c>
      <c r="I24" s="5" t="inlineStr">
        <is>
          <t>ability, fitness</t>
        </is>
      </c>
      <c r="J24" s="5" t="inlineStr">
        <is>
          <t>people with disabilities, learning disability, overcome a disability</t>
        </is>
      </c>
      <c r="K24" s="5" t="inlineStr">
        <is>
          <t>Tính từ: 'disabled' (người khuyết tật: the disabled / people with disabilities).</t>
        </is>
      </c>
    </row>
    <row r="25" ht="42" customHeight="1">
      <c r="A25" s="7" t="inlineStr">
        <is>
          <t>Unit 4: For a Better Community</t>
        </is>
      </c>
      <c r="B25" s="8" t="inlineStr">
        <is>
          <t>remote area</t>
        </is>
      </c>
      <c r="C25" s="9" t="inlineStr">
        <is>
          <t>noun phrase</t>
        </is>
      </c>
      <c r="D25" s="7" t="inlineStr">
        <is>
          <t>/rɪˈməʊt ˈeə.ri.ə/</t>
        </is>
      </c>
      <c r="E25" s="10" t="inlineStr">
        <is>
          <t>Vùng sâu vùng xa, khu vực hẻo lánh cách biệt</t>
        </is>
      </c>
      <c r="F25" s="11" t="inlineStr">
        <is>
          <t>B1</t>
        </is>
      </c>
      <c r="G25" s="10" t="inlineStr">
        <is>
          <t>Volunteer doctors traveled to remote areas to provide free health check-ups.</t>
        </is>
      </c>
      <c r="H25" s="10" t="inlineStr">
        <is>
          <t>isolated region, distant village, hinterland</t>
        </is>
      </c>
      <c r="I25" s="10" t="inlineStr">
        <is>
          <t>urban center, metropolitan area</t>
        </is>
      </c>
      <c r="J25" s="10" t="inlineStr">
        <is>
          <t>live in a remote area, access remote areas, remote mountainous area</t>
        </is>
      </c>
      <c r="K25" s="10" t="inlineStr">
        <is>
          <t>'Remote' mang nghĩa xa xôi (remote control = điều khiển từ xa).</t>
        </is>
      </c>
    </row>
    <row r="26" ht="42" customHeight="1">
      <c r="A26" s="2" t="inlineStr">
        <is>
          <t>Unit 5: Inventions</t>
        </is>
      </c>
      <c r="B26" s="3" t="inlineStr">
        <is>
          <t>artificial intelligence</t>
        </is>
      </c>
      <c r="C26" s="4" t="inlineStr">
        <is>
          <t>noun phrase</t>
        </is>
      </c>
      <c r="D26" s="2" t="inlineStr">
        <is>
          <t>/ˌɑː.tɪˈfɪʃ.əl ɪnˈtel.ɪ.dʒəns/</t>
        </is>
      </c>
      <c r="E26" s="5" t="inlineStr">
        <is>
          <t>Trí tuệ nhân tạo (công nghệ mô phỏng nhận thức thông minh của con người)</t>
        </is>
      </c>
      <c r="F26" s="6" t="inlineStr">
        <is>
          <t>B2</t>
        </is>
      </c>
      <c r="G26" s="5" t="inlineStr">
        <is>
          <t>Artificial intelligence applications are transforming modern diagnostics and tutoring.</t>
        </is>
      </c>
      <c r="H26" s="5" t="inlineStr">
        <is>
          <t>AI, machine intelligence, smart algorithm</t>
        </is>
      </c>
      <c r="I26" s="5" t="inlineStr">
        <is>
          <t>human intelligence, biological mind</t>
        </is>
      </c>
      <c r="J26" s="5" t="inlineStr">
        <is>
          <t>apply artificial intelligence, develop artificial intelligence, AI chatbot</t>
        </is>
      </c>
      <c r="K26" s="5" t="inlineStr">
        <is>
          <t>Thuật ngữ công nghệ bắt buộc trong chương trình tiếng Anh 10 mới.</t>
        </is>
      </c>
    </row>
    <row r="27" ht="42" customHeight="1">
      <c r="A27" s="7" t="inlineStr">
        <is>
          <t>Unit 5: Inventions</t>
        </is>
      </c>
      <c r="B27" s="8" t="inlineStr">
        <is>
          <t>patent</t>
        </is>
      </c>
      <c r="C27" s="9" t="inlineStr">
        <is>
          <t>noun/verb</t>
        </is>
      </c>
      <c r="D27" s="7" t="inlineStr">
        <is>
          <t>/ˈpeɪ.tənt/</t>
        </is>
      </c>
      <c r="E27" s="10" t="inlineStr">
        <is>
          <t>Bằng sáng chế độc quyền / Đăng ký bằng độc quyền sáng chế</t>
        </is>
      </c>
      <c r="F27" s="11" t="inlineStr">
        <is>
          <t>B2</t>
        </is>
      </c>
      <c r="G27" s="10" t="inlineStr">
        <is>
          <t>The young inventor was granted a patent for his innovative solar-powered boat.</t>
        </is>
      </c>
      <c r="H27" s="10" t="inlineStr">
        <is>
          <t>copyright, registered invention, license</t>
        </is>
      </c>
      <c r="I27" s="10" t="inlineStr">
        <is>
          <t>public domain</t>
        </is>
      </c>
      <c r="J27" s="10" t="inlineStr">
        <is>
          <t>apply for a patent, grant a patent, patent infringement, patent pending</t>
        </is>
      </c>
      <c r="K27" s="10" t="inlineStr">
        <is>
          <t>Phát âm tiếng Anh-Anh là /ˈpeɪ.tənt/ hoặc /ˈpæt.ənt/.</t>
        </is>
      </c>
    </row>
    <row r="28" ht="42" customHeight="1">
      <c r="A28" s="2" t="inlineStr">
        <is>
          <t>Unit 5: Inventions</t>
        </is>
      </c>
      <c r="B28" s="3" t="inlineStr">
        <is>
          <t>versatile</t>
        </is>
      </c>
      <c r="C28" s="4" t="inlineStr">
        <is>
          <t>adjective</t>
        </is>
      </c>
      <c r="D28" s="2" t="inlineStr">
        <is>
          <t>/ˈvɜː.sə.taɪl/</t>
        </is>
      </c>
      <c r="E28" s="5" t="inlineStr">
        <is>
          <t>Đa năng, linh hoạt, thích ứng với nhiều mục đích sử dụng khác nhau</t>
        </is>
      </c>
      <c r="F28" s="6" t="inlineStr">
        <is>
          <t>B2</t>
        </is>
      </c>
      <c r="G28" s="5" t="inlineStr">
        <is>
          <t>Smartphones have become the most versatile gadgets in modern human life.</t>
        </is>
      </c>
      <c r="H28" s="5" t="inlineStr">
        <is>
          <t>all-purpose, flexible, adaptable, multifunctional</t>
        </is>
      </c>
      <c r="I28" s="5" t="inlineStr">
        <is>
          <t>single-purpose, rigid, limited</t>
        </is>
      </c>
      <c r="J28" s="5" t="inlineStr">
        <is>
          <t>versatile tool, versatile device, highly versatile, versatile actor</t>
        </is>
      </c>
      <c r="K28" s="5" t="inlineStr">
        <is>
          <t>Danh từ: 'versatility' (tính đa năng, tính linh hoạt).</t>
        </is>
      </c>
    </row>
    <row r="29" ht="42" customHeight="1">
      <c r="A29" s="7" t="inlineStr">
        <is>
          <t>Unit 5: Inventions</t>
        </is>
      </c>
      <c r="B29" s="8" t="inlineStr">
        <is>
          <t>portable</t>
        </is>
      </c>
      <c r="C29" s="9" t="inlineStr">
        <is>
          <t>adjective</t>
        </is>
      </c>
      <c r="D29" s="7" t="inlineStr">
        <is>
          <t>/ˈpɔː.tə.bəl/</t>
        </is>
      </c>
      <c r="E29" s="10" t="inlineStr">
        <is>
          <t>Xách tay, dễ dàng di chuyển và mang theo bên mình</t>
        </is>
      </c>
      <c r="F29" s="11" t="inlineStr">
        <is>
          <t>B1</t>
        </is>
      </c>
      <c r="G29" s="10" t="inlineStr">
        <is>
          <t>Laptops and portable chargers allow students to study anywhere comfortably.</t>
        </is>
      </c>
      <c r="H29" s="10" t="inlineStr">
        <is>
          <t>mobile, transportable, compact, handy</t>
        </is>
      </c>
      <c r="I29" s="10" t="inlineStr">
        <is>
          <t>stationary, bulky, immovable</t>
        </is>
      </c>
      <c r="J29" s="10" t="inlineStr">
        <is>
          <t>portable device, portable speaker, portable charger, highly portable</t>
        </is>
      </c>
      <c r="K29" s="10" t="inlineStr">
        <is>
          <t>Gốc từ tiếng Latin 'portare' nghĩa là mang, vác.</t>
        </is>
      </c>
    </row>
    <row r="30" ht="42" customHeight="1">
      <c r="A30" s="2" t="inlineStr">
        <is>
          <t>Unit 5: Inventions</t>
        </is>
      </c>
      <c r="B30" s="3" t="inlineStr">
        <is>
          <t>revolutionize</t>
        </is>
      </c>
      <c r="C30" s="4" t="inlineStr">
        <is>
          <t>verb</t>
        </is>
      </c>
      <c r="D30" s="2" t="inlineStr">
        <is>
          <t>/ˌrev.əˈluː.ʃən.aɪz/</t>
        </is>
      </c>
      <c r="E30" s="5" t="inlineStr">
        <is>
          <t>Cách mạng hóa, tạo nên sự thay đổi căn bản và toàn diện</t>
        </is>
      </c>
      <c r="F30" s="6" t="inlineStr">
        <is>
          <t>B2</t>
        </is>
      </c>
      <c r="G30" s="5" t="inlineStr">
        <is>
          <t>The invention of the Internet completely revolutionized how we communicate.</t>
        </is>
      </c>
      <c r="H30" s="5" t="inlineStr">
        <is>
          <t>transform, overhaul, reform, modernize</t>
        </is>
      </c>
      <c r="I30" s="5" t="inlineStr">
        <is>
          <t>stagnate, preserve status quo</t>
        </is>
      </c>
      <c r="J30" s="5" t="inlineStr">
        <is>
          <t>revolutionize an industry, revolutionize education, completely revolutionize</t>
        </is>
      </c>
      <c r="K30" s="5" t="inlineStr">
        <is>
          <t>Danh từ: 'revolution' (cuộc cách mạng). Tính từ: 'revolutionary'.</t>
        </is>
      </c>
    </row>
    <row r="31" ht="42" customHeight="1">
      <c r="A31" s="7" t="inlineStr">
        <is>
          <t>Unit 5: Inventions</t>
        </is>
      </c>
      <c r="B31" s="8" t="inlineStr">
        <is>
          <t>innovative</t>
        </is>
      </c>
      <c r="C31" s="9" t="inlineStr">
        <is>
          <t>adjective</t>
        </is>
      </c>
      <c r="D31" s="7" t="inlineStr">
        <is>
          <t>/ˈɪn.ə.və.tɪv/</t>
        </is>
      </c>
      <c r="E31" s="10" t="inlineStr">
        <is>
          <t>Có tính đổi mới sáng tạo, mang tính đột phá</t>
        </is>
      </c>
      <c r="F31" s="11" t="inlineStr">
        <is>
          <t>B2</t>
        </is>
      </c>
      <c r="G31" s="10" t="inlineStr">
        <is>
          <t>Engineers developed an innovative water purification filter from coconut shells.</t>
        </is>
      </c>
      <c r="H31" s="10" t="inlineStr">
        <is>
          <t>creative, inventive, pioneering, state-of-the-art</t>
        </is>
      </c>
      <c r="I31" s="10" t="inlineStr">
        <is>
          <t>conventional, traditional, outdated</t>
        </is>
      </c>
      <c r="J31" s="10" t="inlineStr">
        <is>
          <t>innovative idea, innovative technology, innovative solution</t>
        </is>
      </c>
      <c r="K31" s="10" t="inlineStr">
        <is>
          <t>Động từ: 'innovate' (đổi mới). Danh từ: 'innovation'.</t>
        </is>
      </c>
    </row>
    <row r="32" ht="42" customHeight="1">
      <c r="A32" s="2" t="inlineStr">
        <is>
          <t>Unit 6: Gender Equality</t>
        </is>
      </c>
      <c r="B32" s="3" t="inlineStr">
        <is>
          <t>gender discrimination</t>
        </is>
      </c>
      <c r="C32" s="4" t="inlineStr">
        <is>
          <t>noun phrase</t>
        </is>
      </c>
      <c r="D32" s="2" t="inlineStr">
        <is>
          <t>/ˈdʒen.dər dɪˌskrɪm.ɪˈneɪ.ʃən/</t>
        </is>
      </c>
      <c r="E32" s="5" t="inlineStr">
        <is>
          <t>Sự phân biệt đối xử dựa trên giới tính (nam/nữ)</t>
        </is>
      </c>
      <c r="F32" s="6" t="inlineStr">
        <is>
          <t>B2</t>
        </is>
      </c>
      <c r="G32" s="5" t="inlineStr">
        <is>
          <t>Strict laws were enacted to eliminate gender discrimination in the workplace.</t>
        </is>
      </c>
      <c r="H32" s="5" t="inlineStr">
        <is>
          <t>sex discrimination, sexism, gender bias</t>
        </is>
      </c>
      <c r="I32" s="5" t="inlineStr">
        <is>
          <t>gender equality, gender fairness</t>
        </is>
      </c>
      <c r="J32" s="5" t="inlineStr">
        <is>
          <t>face gender discrimination, combat gender discrimination, prohibit gender discrimination</t>
        </is>
      </c>
      <c r="K32" s="5" t="inlineStr">
        <is>
          <t>Động từ là 'discriminate against someone on the grounds of gender'.</t>
        </is>
      </c>
    </row>
    <row r="33" ht="42" customHeight="1">
      <c r="A33" s="7" t="inlineStr">
        <is>
          <t>Unit 6: Gender Equality</t>
        </is>
      </c>
      <c r="B33" s="8" t="inlineStr">
        <is>
          <t>equal opportunity</t>
        </is>
      </c>
      <c r="C33" s="9" t="inlineStr">
        <is>
          <t>noun phrase</t>
        </is>
      </c>
      <c r="D33" s="7" t="inlineStr">
        <is>
          <t>/ˌiː.kwəl ˌɒp.əˈtʃuː.nə.ti/</t>
        </is>
      </c>
      <c r="E33" s="10" t="inlineStr">
        <is>
          <t>Cơ hội bình đẳng (trong giáo dục, việc làm, thăng tiến)</t>
        </is>
      </c>
      <c r="F33" s="11" t="inlineStr">
        <is>
          <t>B2</t>
        </is>
      </c>
      <c r="G33" s="10" t="inlineStr">
        <is>
          <t>Every child deserves equal opportunity to pursue higher education regardless of gender.</t>
        </is>
      </c>
      <c r="H33" s="10" t="inlineStr">
        <is>
          <t>equal rights, fair access, level playing field</t>
        </is>
      </c>
      <c r="I33" s="10" t="inlineStr">
        <is>
          <t>inequality, prejudice, bias</t>
        </is>
      </c>
      <c r="J33" s="10" t="inlineStr">
        <is>
          <t>provide equal opportunity, ensure equal opportunity, equal opportunity employer</t>
        </is>
      </c>
      <c r="K33" s="10" t="inlineStr">
        <is>
          <t>Khẩu hiệu quốc tế: Equal opportunities for all.</t>
        </is>
      </c>
    </row>
    <row r="34" ht="42" customHeight="1">
      <c r="A34" s="2" t="inlineStr">
        <is>
          <t>Unit 6: Gender Equality</t>
        </is>
      </c>
      <c r="B34" s="3" t="inlineStr">
        <is>
          <t>eliminate</t>
        </is>
      </c>
      <c r="C34" s="4" t="inlineStr">
        <is>
          <t>verb</t>
        </is>
      </c>
      <c r="D34" s="2" t="inlineStr">
        <is>
          <t>/ɪˈlɪm.ɪ.neɪt/</t>
        </is>
      </c>
      <c r="E34" s="5" t="inlineStr">
        <is>
          <t>Xóa bỏ hoàn toàn, bài trừ, loại trừ triệt để</t>
        </is>
      </c>
      <c r="F34" s="6" t="inlineStr">
        <is>
          <t>B2</t>
        </is>
      </c>
      <c r="G34" s="5" t="inlineStr">
        <is>
          <t>International programs aim to eliminate illiteracy and poverty in developing nations.</t>
        </is>
      </c>
      <c r="H34" s="5" t="inlineStr">
        <is>
          <t>eradicate, get rid of, wipe out, remove</t>
        </is>
      </c>
      <c r="I34" s="5" t="inlineStr">
        <is>
          <t>retain, maintain, establish</t>
        </is>
      </c>
      <c r="J34" s="5" t="inlineStr">
        <is>
          <t>eliminate poverty, eliminate barriers, completely eliminate</t>
        </is>
      </c>
      <c r="K34" s="5" t="inlineStr">
        <is>
          <t>Danh từ: 'elimination' (sự loại trừ / vòng loại thể thao).</t>
        </is>
      </c>
    </row>
    <row r="35" ht="42" customHeight="1">
      <c r="A35" s="7" t="inlineStr">
        <is>
          <t>Unit 6: Gender Equality</t>
        </is>
      </c>
      <c r="B35" s="8" t="inlineStr">
        <is>
          <t>empower</t>
        </is>
      </c>
      <c r="C35" s="9" t="inlineStr">
        <is>
          <t>verb</t>
        </is>
      </c>
      <c r="D35" s="7" t="inlineStr">
        <is>
          <t>/ɪmˈpaʊ.ər/</t>
        </is>
      </c>
      <c r="E35" s="10" t="inlineStr">
        <is>
          <t>Trao quyền, trao cơ hội và sự tự tin để tự quyết định cuộc sống</t>
        </is>
      </c>
      <c r="F35" s="11" t="inlineStr">
        <is>
          <t>B2</t>
        </is>
      </c>
      <c r="G35" s="10" t="inlineStr">
        <is>
          <t>Educating young girls empowers them to become independent community leaders.</t>
        </is>
      </c>
      <c r="H35" s="10" t="inlineStr">
        <is>
          <t>enable, authorize, liberate, equip</t>
        </is>
      </c>
      <c r="I35" s="10" t="inlineStr">
        <is>
          <t>suppress, restrict, disempower</t>
        </is>
      </c>
      <c r="J35" s="10" t="inlineStr">
        <is>
          <t>empower women, empower youth, economic empowerment</t>
        </is>
      </c>
      <c r="K35" s="10" t="inlineStr">
        <is>
          <t>Danh từ: 'empowerment' (sự trao quyền, sự tự chủ).</t>
        </is>
      </c>
    </row>
    <row r="36" ht="42" customHeight="1">
      <c r="A36" s="2" t="inlineStr">
        <is>
          <t>Unit 6: Gender Equality</t>
        </is>
      </c>
      <c r="B36" s="3" t="inlineStr">
        <is>
          <t>wage gap</t>
        </is>
      </c>
      <c r="C36" s="4" t="inlineStr">
        <is>
          <t>noun phrase</t>
        </is>
      </c>
      <c r="D36" s="2" t="inlineStr">
        <is>
          <t>/ˈweɪdʒ ˌɡæp/</t>
        </is>
      </c>
      <c r="E36" s="5" t="inlineStr">
        <is>
          <t>Khoảng cách chênh lệch tiền lương (thường giữa nam và nữ)</t>
        </is>
      </c>
      <c r="F36" s="6" t="inlineStr">
        <is>
          <t>B2</t>
        </is>
      </c>
      <c r="G36" s="5" t="inlineStr">
        <is>
          <t>Governments are taking active steps to close the gender wage gap across industries.</t>
        </is>
      </c>
      <c r="H36" s="5" t="inlineStr">
        <is>
          <t>pay gap, income disparity</t>
        </is>
      </c>
      <c r="I36" s="5" t="inlineStr">
        <is>
          <t>pay equity, equal pay</t>
        </is>
      </c>
      <c r="J36" s="5" t="inlineStr">
        <is>
          <t>gender wage gap, close the wage gap, narrow the wage gap, widen the wage gap</t>
        </is>
      </c>
      <c r="K36" s="5" t="inlineStr">
        <is>
          <t>Động từ hay đi cùng: 'narrow' (thu hẹp) hoặc 'close' (xóa bỏ) the gap.</t>
        </is>
      </c>
    </row>
    <row r="37" ht="42" customHeight="1">
      <c r="A37" s="7" t="inlineStr">
        <is>
          <t>Unit 6: Gender Equality</t>
        </is>
      </c>
      <c r="B37" s="8" t="inlineStr">
        <is>
          <t>stereotype</t>
        </is>
      </c>
      <c r="C37" s="9" t="inlineStr">
        <is>
          <t>noun/verb</t>
        </is>
      </c>
      <c r="D37" s="7" t="inlineStr">
        <is>
          <t>/ˈster.i.ə.taɪp/</t>
        </is>
      </c>
      <c r="E37" s="10" t="inlineStr">
        <is>
          <t>Định kiến, khuôn mẫu rập khuôn thiếu cơ sở về một nhóm người</t>
        </is>
      </c>
      <c r="F37" s="11" t="inlineStr">
        <is>
          <t>B2</t>
        </is>
      </c>
      <c r="G37" s="10" t="inlineStr">
        <is>
          <t>We must challenge the traditional stereotype that technical careers are only for men.</t>
        </is>
      </c>
      <c r="H37" s="10" t="inlineStr">
        <is>
          <t>preconception, cliché, bias, generalized belief</t>
        </is>
      </c>
      <c r="I37" s="10" t="inlineStr">
        <is>
          <t>individuality, open-mindedness</t>
        </is>
      </c>
      <c r="J37" s="10" t="inlineStr">
        <is>
          <t>gender stereotype, break stereotypes, cultural stereotype, stereotype someone</t>
        </is>
      </c>
      <c r="K37" s="10" t="inlineStr">
        <is>
          <t>Cụm từ rất hay gặp: 'break / shatter gender stereotypes' (phá vỡ định kiến giới).</t>
        </is>
      </c>
    </row>
    <row r="38" ht="42" customHeight="1">
      <c r="A38" s="2" t="inlineStr">
        <is>
          <t>Unit 7: VN &amp; International Orgs</t>
        </is>
      </c>
      <c r="B38" s="3" t="inlineStr">
        <is>
          <t>peacekeeping</t>
        </is>
      </c>
      <c r="C38" s="4" t="inlineStr">
        <is>
          <t>noun/adjective</t>
        </is>
      </c>
      <c r="D38" s="2" t="inlineStr">
        <is>
          <t>/ˈpiːsˌkiː.pɪŋ/</t>
        </is>
      </c>
      <c r="E38" s="5" t="inlineStr">
        <is>
          <t>Hoạt động gìn giữ hòa bình (của Liên Hợp Quốc)</t>
        </is>
      </c>
      <c r="F38" s="6" t="inlineStr">
        <is>
          <t>B2</t>
        </is>
      </c>
      <c r="G38" s="5" t="inlineStr">
        <is>
          <t>Vietnamese military officers participate actively in United Nations peacekeeping missions.</t>
        </is>
      </c>
      <c r="H38" s="5" t="inlineStr">
        <is>
          <t>peace maintenance, peace protection</t>
        </is>
      </c>
      <c r="I38" s="5" t="inlineStr">
        <is>
          <t>warfare, conflict</t>
        </is>
      </c>
      <c r="J38" s="5" t="inlineStr">
        <is>
          <t>peacekeeping mission, peacekeeping force, UN peacekeeper</t>
        </is>
      </c>
      <c r="K38" s="5" t="inlineStr">
        <is>
          <t>Việt Nam cử lực lượng gìn giữ hòa bình tới Nam Sudan và Abyei.</t>
        </is>
      </c>
    </row>
    <row r="39" ht="42" customHeight="1">
      <c r="A39" s="7" t="inlineStr">
        <is>
          <t>Unit 7: VN &amp; International Orgs</t>
        </is>
      </c>
      <c r="B39" s="8" t="inlineStr">
        <is>
          <t>integrate</t>
        </is>
      </c>
      <c r="C39" s="9" t="inlineStr">
        <is>
          <t>verb</t>
        </is>
      </c>
      <c r="D39" s="7" t="inlineStr">
        <is>
          <t>/ˈɪn.tɪ.ɡreɪt/</t>
        </is>
      </c>
      <c r="E39" s="10" t="inlineStr">
        <is>
          <t>Hội nhập, hòa nhập vào nền kinh tế và cộng đồng quốc tế</t>
        </is>
      </c>
      <c r="F39" s="11" t="inlineStr">
        <is>
          <t>B2</t>
        </is>
      </c>
      <c r="G39" s="10" t="inlineStr">
        <is>
          <t>Vietnam continues to integrate deeply into the global economy through trade pacts.</t>
        </is>
      </c>
      <c r="H39" s="10" t="inlineStr">
        <is>
          <t>assimilate, incorporate, blend in, cooperate</t>
        </is>
      </c>
      <c r="I39" s="10" t="inlineStr">
        <is>
          <t>isolate, segregate, separate</t>
        </is>
      </c>
      <c r="J39" s="10" t="inlineStr">
        <is>
          <t>integrate into the global economy, international integration, regional integration</t>
        </is>
      </c>
      <c r="K39" s="10" t="inlineStr">
        <is>
          <t>Danh từ: 'integration' (international integration = hội nhập quốc tế).</t>
        </is>
      </c>
    </row>
    <row r="40" ht="42" customHeight="1">
      <c r="A40" s="2" t="inlineStr">
        <is>
          <t>Unit 7: VN &amp; International Orgs</t>
        </is>
      </c>
      <c r="B40" s="3" t="inlineStr">
        <is>
          <t>promote</t>
        </is>
      </c>
      <c r="C40" s="4" t="inlineStr">
        <is>
          <t>verb</t>
        </is>
      </c>
      <c r="D40" s="2" t="inlineStr">
        <is>
          <t>/prəˈməʊt/</t>
        </is>
      </c>
      <c r="E40" s="5" t="inlineStr">
        <is>
          <t>Thúc đẩy, khuyến khích, quảng bá mối quan hệ hữu nghị và thương mại</t>
        </is>
      </c>
      <c r="F40" s="6" t="inlineStr">
        <is>
          <t>B1</t>
        </is>
      </c>
      <c r="G40" s="5" t="inlineStr">
        <is>
          <t>UNICEF works tirelessly to promote children's rights and education worldwide.</t>
        </is>
      </c>
      <c r="H40" s="5" t="inlineStr">
        <is>
          <t>foster, encourage, boost, advance</t>
        </is>
      </c>
      <c r="I40" s="5" t="inlineStr">
        <is>
          <t>hinder, discourage, suppress</t>
        </is>
      </c>
      <c r="J40" s="5" t="inlineStr">
        <is>
          <t>promote peace, promote economic growth, promote cultural exchange</t>
        </is>
      </c>
      <c r="K40" s="5" t="inlineStr">
        <is>
          <t>Danh từ: 'promotion' (sự thăng tiến / sự xúc tiến quảng bá).</t>
        </is>
      </c>
    </row>
    <row r="41" ht="42" customHeight="1">
      <c r="A41" s="7" t="inlineStr">
        <is>
          <t>Unit 7: VN &amp; International Orgs</t>
        </is>
      </c>
      <c r="B41" s="8" t="inlineStr">
        <is>
          <t>collaborate</t>
        </is>
      </c>
      <c r="C41" s="9" t="inlineStr">
        <is>
          <t>verb</t>
        </is>
      </c>
      <c r="D41" s="7" t="inlineStr">
        <is>
          <t>/kəˈlæb.ə.reɪt/</t>
        </is>
      </c>
      <c r="E41" s="10" t="inlineStr">
        <is>
          <t>Hợp tác, cộng tác cùng nhau để đạt mục tiêu chung</t>
        </is>
      </c>
      <c r="F41" s="11" t="inlineStr">
        <is>
          <t>B2</t>
        </is>
      </c>
      <c r="G41" s="10" t="inlineStr">
        <is>
          <t>Vietnamese medical scientists collaborate with WHO experts to prevent pandemics.</t>
        </is>
      </c>
      <c r="H41" s="10" t="inlineStr">
        <is>
          <t>cooperate, partner with, work together</t>
        </is>
      </c>
      <c r="I41" s="10" t="inlineStr">
        <is>
          <t>compete, oppose, work alone</t>
        </is>
      </c>
      <c r="J41" s="10" t="inlineStr">
        <is>
          <t>collaborate with international partners, collaborate on a project, closely collaborate</t>
        </is>
      </c>
      <c r="K41" s="10" t="inlineStr">
        <is>
          <t>Cấu trúc: collaborate with someone on / in something. Danh từ: collaboration.</t>
        </is>
      </c>
    </row>
    <row r="42" ht="42" customHeight="1">
      <c r="A42" s="2" t="inlineStr">
        <is>
          <t>Unit 7: VN &amp; International Orgs</t>
        </is>
      </c>
      <c r="B42" s="3" t="inlineStr">
        <is>
          <t>bilateral</t>
        </is>
      </c>
      <c r="C42" s="4" t="inlineStr">
        <is>
          <t>adjective</t>
        </is>
      </c>
      <c r="D42" s="2" t="inlineStr">
        <is>
          <t>/baɪˈlæt.ər.əl/</t>
        </is>
      </c>
      <c r="E42" s="5" t="inlineStr">
        <is>
          <t>Song phương, liên quan đến thỏa thuận giữa hai quốc gia</t>
        </is>
      </c>
      <c r="F42" s="6" t="inlineStr">
        <is>
          <t>B2</t>
        </is>
      </c>
      <c r="G42" s="5" t="inlineStr">
        <is>
          <t>The two countries signed a bilateral trade agreement to lower import tariffs.</t>
        </is>
      </c>
      <c r="H42" s="5" t="inlineStr">
        <is>
          <t>two-sided, two-party, mutual</t>
        </is>
      </c>
      <c r="I42" s="5" t="inlineStr">
        <is>
          <t>unilateral (đơn phương), multilateral (đa phương)</t>
        </is>
      </c>
      <c r="J42" s="5" t="inlineStr">
        <is>
          <t>bilateral relations, bilateral agreement, bilateral trade, bilateral cooperation</t>
        </is>
      </c>
      <c r="K42" s="5" t="inlineStr">
        <is>
          <t>Tiền tố 'bi-' = hai (như bilingual: song ngữ, bicycle: xe đạp).</t>
        </is>
      </c>
    </row>
    <row r="43" ht="42" customHeight="1">
      <c r="A43" s="7" t="inlineStr">
        <is>
          <t>Unit 7: VN &amp; International Orgs</t>
        </is>
      </c>
      <c r="B43" s="8" t="inlineStr">
        <is>
          <t>multilateral</t>
        </is>
      </c>
      <c r="C43" s="9" t="inlineStr">
        <is>
          <t>adjective</t>
        </is>
      </c>
      <c r="D43" s="7" t="inlineStr">
        <is>
          <t>/ˌmʌl.tiˈlæt.ər.əl/</t>
        </is>
      </c>
      <c r="E43" s="10" t="inlineStr">
        <is>
          <t>Đa phương, có sự tham gia của nhiều quốc gia (như UN, WTO, ASEAN)</t>
        </is>
      </c>
      <c r="F43" s="11" t="inlineStr">
        <is>
          <t>B2</t>
        </is>
      </c>
      <c r="G43" s="10" t="inlineStr">
        <is>
          <t>Multilateral diplomacy plays a crucial role in resolving transnational climate disputes.</t>
        </is>
      </c>
      <c r="H43" s="10" t="inlineStr">
        <is>
          <t>many-sided, international, collective</t>
        </is>
      </c>
      <c r="I43" s="10" t="inlineStr">
        <is>
          <t>unilateral, bilateral</t>
        </is>
      </c>
      <c r="J43" s="10" t="inlineStr">
        <is>
          <t>multilateral diplomacy, multilateral trade organization, multilateral forum</t>
        </is>
      </c>
      <c r="K43" s="10" t="inlineStr">
        <is>
          <t>Tiền tố 'multi-' = nhiều (như multimedia, multilingual).</t>
        </is>
      </c>
    </row>
    <row r="44" ht="42" customHeight="1">
      <c r="A44" s="2" t="inlineStr">
        <is>
          <t>Unit 8: New Ways to Learn</t>
        </is>
      </c>
      <c r="B44" s="3" t="inlineStr">
        <is>
          <t>blended learning</t>
        </is>
      </c>
      <c r="C44" s="4" t="inlineStr">
        <is>
          <t>noun phrase</t>
        </is>
      </c>
      <c r="D44" s="2" t="inlineStr">
        <is>
          <t>/ˌblen.dɪd ˈlɜː.nɪŋ/</t>
        </is>
      </c>
      <c r="E44" s="5" t="inlineStr">
        <is>
          <t>Phương pháp học tập kết hợp (kết hợp giữa học trực tiếp và học online)</t>
        </is>
      </c>
      <c r="F44" s="6" t="inlineStr">
        <is>
          <t>B2</t>
        </is>
      </c>
      <c r="G44" s="5" t="inlineStr">
        <is>
          <t>Blended learning gives high school students greater flexibility and autonomy.</t>
        </is>
      </c>
      <c r="H44" s="5" t="inlineStr">
        <is>
          <t>hybrid learning, integrated learning</t>
        </is>
      </c>
      <c r="I44" s="5" t="inlineStr">
        <is>
          <t>purely traditional classroom learning</t>
        </is>
      </c>
      <c r="J44" s="5" t="inlineStr">
        <is>
          <t>adopt blended learning, blended learning model, benefits of blended learning</t>
        </is>
      </c>
      <c r="K44" s="5" t="inlineStr">
        <is>
          <t>'Blend' là pha trộn, hòa quyện.</t>
        </is>
      </c>
    </row>
    <row r="45" ht="42" customHeight="1">
      <c r="A45" s="7" t="inlineStr">
        <is>
          <t>Unit 8: New Ways to Learn</t>
        </is>
      </c>
      <c r="B45" s="8" t="inlineStr">
        <is>
          <t>digital device</t>
        </is>
      </c>
      <c r="C45" s="9" t="inlineStr">
        <is>
          <t>noun phrase</t>
        </is>
      </c>
      <c r="D45" s="7" t="inlineStr">
        <is>
          <t>/ˈdɪdʒ.ɪ.təl dɪˈvaɪs/</t>
        </is>
      </c>
      <c r="E45" s="10" t="inlineStr">
        <is>
          <t>Thiết bị kỹ thuật số (laptop, tablet, smartphone phục vụ học tập)</t>
        </is>
      </c>
      <c r="F45" s="11" t="inlineStr">
        <is>
          <t>B1</t>
        </is>
      </c>
      <c r="G45" s="10" t="inlineStr">
        <is>
          <t>Using digital devices wisely turns the classroom into an interactive learning hub.</t>
        </is>
      </c>
      <c r="H45" s="10" t="inlineStr">
        <is>
          <t>electronic gadget, smart device</t>
        </is>
      </c>
      <c r="I45" s="10" t="inlineStr">
        <is>
          <t>analogue tool, paper resource</t>
        </is>
      </c>
      <c r="J45" s="10" t="inlineStr">
        <is>
          <t>use digital devices, modern digital devices, screen time on digital devices</t>
        </is>
      </c>
      <c r="K45" s="10" t="inlineStr">
        <is>
          <t>Phân biệt 'device' (đếm được) và 'equipment' (không đếm được).</t>
        </is>
      </c>
    </row>
    <row r="46" ht="42" customHeight="1">
      <c r="A46" s="2" t="inlineStr">
        <is>
          <t>Unit 8: New Ways to Learn</t>
        </is>
      </c>
      <c r="B46" s="3" t="inlineStr">
        <is>
          <t>interactive</t>
        </is>
      </c>
      <c r="C46" s="4" t="inlineStr">
        <is>
          <t>adjective</t>
        </is>
      </c>
      <c r="D46" s="2" t="inlineStr">
        <is>
          <t>/ˌɪn.təˈræk.tɪv/</t>
        </is>
      </c>
      <c r="E46" s="5" t="inlineStr">
        <is>
          <t>Có tính tương tác cao (giữa người dùng và phần mềm hoặc giữa người học)</t>
        </is>
      </c>
      <c r="F46" s="6" t="inlineStr">
        <is>
          <t>B1</t>
        </is>
      </c>
      <c r="G46" s="5" t="inlineStr">
        <is>
          <t>Teachers design interactive quizzes to make English grammar lessons engaging.</t>
        </is>
      </c>
      <c r="H46" s="5" t="inlineStr">
        <is>
          <t>participatory, two-way, collaborative</t>
        </is>
      </c>
      <c r="I46" s="5" t="inlineStr">
        <is>
          <t>passive, one-way, non-interactive</t>
        </is>
      </c>
      <c r="J46" s="5" t="inlineStr">
        <is>
          <t>interactive whiteboard, interactive game, interactive software, interactive display</t>
        </is>
      </c>
      <c r="K46" s="5" t="inlineStr">
        <is>
          <t>Động từ là 'interact with' (tương tác với).</t>
        </is>
      </c>
    </row>
    <row r="47" ht="42" customHeight="1">
      <c r="A47" s="7" t="inlineStr">
        <is>
          <t>Unit 8: New Ways to Learn</t>
        </is>
      </c>
      <c r="B47" s="8" t="inlineStr">
        <is>
          <t>access</t>
        </is>
      </c>
      <c r="C47" s="9" t="inlineStr">
        <is>
          <t>verb/noun</t>
        </is>
      </c>
      <c r="D47" s="7" t="inlineStr">
        <is>
          <t>/ˈæk.ses/</t>
        </is>
      </c>
      <c r="E47" s="10" t="inlineStr">
        <is>
          <t>Truy cập, tiếp cận thông tin, tài liệu / Quyền tiếp cận</t>
        </is>
      </c>
      <c r="F47" s="11" t="inlineStr">
        <is>
          <t>B1</t>
        </is>
      </c>
      <c r="G47" s="10" t="inlineStr">
        <is>
          <t>The high-speed school Wi-Fi allows students to access digital libraries instantly.</t>
        </is>
      </c>
      <c r="H47" s="10" t="inlineStr">
        <is>
          <t>reach, enter, retrieve, gain entrance to</t>
        </is>
      </c>
      <c r="I47" s="10" t="inlineStr">
        <is>
          <t>restrict, block, deny</t>
        </is>
      </c>
      <c r="J47" s="10" t="inlineStr">
        <is>
          <t>access information, gain access to, free access, internet access</t>
        </is>
      </c>
      <c r="K47" s="10" t="inlineStr">
        <is>
          <t>Động từ 'access something' (không có giới từ 'to'), nhưng danh từ 'have access to something'.</t>
        </is>
      </c>
    </row>
    <row r="48" ht="42" customHeight="1">
      <c r="A48" s="2" t="inlineStr">
        <is>
          <t>Unit 8: New Ways to Learn</t>
        </is>
      </c>
      <c r="B48" s="3" t="inlineStr">
        <is>
          <t>self-study</t>
        </is>
      </c>
      <c r="C48" s="4" t="inlineStr">
        <is>
          <t>noun/verb</t>
        </is>
      </c>
      <c r="D48" s="2" t="inlineStr">
        <is>
          <t>/ˌselfˈstʌd.i/</t>
        </is>
      </c>
      <c r="E48" s="5" t="inlineStr">
        <is>
          <t>Tự học, quá trình chủ động nghiên cứu mà không cần giám sát trực tiếp</t>
        </is>
      </c>
      <c r="F48" s="6" t="inlineStr">
        <is>
          <t>B1</t>
        </is>
      </c>
      <c r="G48" s="5" t="inlineStr">
        <is>
          <t>Effective self-study skills help Grade 10 students prepare thoroughly for national exams.</t>
        </is>
      </c>
      <c r="H48" s="5" t="inlineStr">
        <is>
          <t>independent learning, self-instruction, autonomous study</t>
        </is>
      </c>
      <c r="I48" s="5" t="inlineStr">
        <is>
          <t>teacher-led instruction</t>
        </is>
      </c>
      <c r="J48" s="5" t="inlineStr">
        <is>
          <t>self-study materials, develop self-study habits, self-study course</t>
        </is>
      </c>
      <c r="K48" s="5" t="inlineStr">
        <is>
          <t>Tương đương với cụm 'autonomous learning'.</t>
        </is>
      </c>
    </row>
    <row r="49" ht="42" customHeight="1">
      <c r="A49" s="7" t="inlineStr">
        <is>
          <t>Unit 8: New Ways to Learn</t>
        </is>
      </c>
      <c r="B49" s="8" t="inlineStr">
        <is>
          <t>virtual classroom</t>
        </is>
      </c>
      <c r="C49" s="9" t="inlineStr">
        <is>
          <t>noun phrase</t>
        </is>
      </c>
      <c r="D49" s="7" t="inlineStr">
        <is>
          <t>/ˌvɜː.tʃu.əl ˈklɑːs.ruːm/</t>
        </is>
      </c>
      <c r="E49" s="10" t="inlineStr">
        <is>
          <t>Lớp học ảo (môi trường học tập trực tuyến thông qua máy tính và mạng Internet)</t>
        </is>
      </c>
      <c r="F49" s="11" t="inlineStr">
        <is>
          <t>B1</t>
        </is>
      </c>
      <c r="G49" s="10" t="inlineStr">
        <is>
          <t>During severe weather conditions, students attended lessons in a virtual classroom.</t>
        </is>
      </c>
      <c r="H49" s="10" t="inlineStr">
        <is>
          <t>online classroom, cyber class, digital classroom</t>
        </is>
      </c>
      <c r="I49" s="10" t="inlineStr">
        <is>
          <t>physical classroom, brick-and-mortar school</t>
        </is>
      </c>
      <c r="J49" s="10" t="inlineStr">
        <is>
          <t>attend a virtual classroom, set up a virtual classroom, interactive virtual classroom</t>
        </is>
      </c>
      <c r="K49" s="10" t="inlineStr">
        <is>
          <t>'Virtual' có nghĩa là ảo / mô phỏng trên không gian mạng số.</t>
        </is>
      </c>
    </row>
    <row r="50" ht="42" customHeight="1">
      <c r="A50" s="2" t="inlineStr">
        <is>
          <t>Unit 9: Protecting Environment</t>
        </is>
      </c>
      <c r="B50" s="3" t="inlineStr">
        <is>
          <t>biodiversity</t>
        </is>
      </c>
      <c r="C50" s="4" t="inlineStr">
        <is>
          <t>noun</t>
        </is>
      </c>
      <c r="D50" s="2" t="inlineStr">
        <is>
          <t>/ˌbaɪ.əʊ.daɪˈvɜː.sə.ti/</t>
        </is>
      </c>
      <c r="E50" s="5" t="inlineStr">
        <is>
          <t>Sự đa dạng sinh học (sự phong phú của các loài động, thực vật trong tự nhiên)</t>
        </is>
      </c>
      <c r="F50" s="6" t="inlineStr">
        <is>
          <t>B2</t>
        </is>
      </c>
      <c r="G50" s="5" t="inlineStr">
        <is>
          <t>Protecting national parks is vital to preserve the rich biodiversity of Vietnam.</t>
        </is>
      </c>
      <c r="H50" s="5" t="inlineStr">
        <is>
          <t>biological diversity, ecological variety</t>
        </is>
      </c>
      <c r="I50" s="5" t="inlineStr">
        <is>
          <t>monoculture, ecological homogeneity</t>
        </is>
      </c>
      <c r="J50" s="5" t="inlineStr">
        <is>
          <t>preserve biodiversity, loss of biodiversity, rich biodiversity, protect biodiversity</t>
        </is>
      </c>
      <c r="K50" s="5" t="inlineStr">
        <is>
          <t>Ghép từ 'bio-' (sinh học) và 'diversity' (tính đa dạng). Trọng âm 4.</t>
        </is>
      </c>
    </row>
    <row r="51" ht="42" customHeight="1">
      <c r="A51" s="7" t="inlineStr">
        <is>
          <t>Unit 9: Protecting Environment</t>
        </is>
      </c>
      <c r="B51" s="8" t="inlineStr">
        <is>
          <t>endangered species</t>
        </is>
      </c>
      <c r="C51" s="9" t="inlineStr">
        <is>
          <t>noun phrase</t>
        </is>
      </c>
      <c r="D51" s="7" t="inlineStr">
        <is>
          <t>/ɪnˌdeɪn.dʒəd ˈspiː.ʃiːz/</t>
        </is>
      </c>
      <c r="E51" s="10" t="inlineStr">
        <is>
          <t>Các loài có nguy cơ tuyệt chủng (động thực vật đứng trước nguy cơ biến mất)</t>
        </is>
      </c>
      <c r="F51" s="11" t="inlineStr">
        <is>
          <t>B2</t>
        </is>
      </c>
      <c r="G51" s="10" t="inlineStr">
        <is>
          <t>The Javan rhino and the saola are critically endangered species in Southeast Asia.</t>
        </is>
      </c>
      <c r="H51" s="10" t="inlineStr">
        <is>
          <t>threatened species, species at risk</t>
        </is>
      </c>
      <c r="I51" s="10" t="inlineStr">
        <is>
          <t>abundant species, thriving species</t>
        </is>
      </c>
      <c r="J51" s="10" t="inlineStr">
        <is>
          <t>critically endangered species, save endangered species, red list of endangered species</t>
        </is>
      </c>
      <c r="K51" s="10" t="inlineStr">
        <is>
          <t>'Species' có dạng số ít và số nhiều giống nhau: one species, many species.</t>
        </is>
      </c>
    </row>
    <row r="52" ht="42" customHeight="1">
      <c r="A52" s="2" t="inlineStr">
        <is>
          <t>Unit 9: Protecting Environment</t>
        </is>
      </c>
      <c r="B52" s="3" t="inlineStr">
        <is>
          <t>habitat loss</t>
        </is>
      </c>
      <c r="C52" s="4" t="inlineStr">
        <is>
          <t>noun phrase</t>
        </is>
      </c>
      <c r="D52" s="2" t="inlineStr">
        <is>
          <t>/ˈhæb.ɪ.tæt lɒs/</t>
        </is>
      </c>
      <c r="E52" s="5" t="inlineStr">
        <is>
          <t>Mất môi trường sống (do nạn phá rừng, đô thị hóa, biến đổi khí hậu)</t>
        </is>
      </c>
      <c r="F52" s="6" t="inlineStr">
        <is>
          <t>B2</t>
        </is>
      </c>
      <c r="G52" s="5" t="inlineStr">
        <is>
          <t>Deforestation and urban expansion are the primary drivers of habitat loss worldwide.</t>
        </is>
      </c>
      <c r="H52" s="5" t="inlineStr">
        <is>
          <t>habitat destruction, habitat fragmentation</t>
        </is>
      </c>
      <c r="I52" s="5" t="inlineStr">
        <is>
          <t>habitat restoration, habitat conservation</t>
        </is>
      </c>
      <c r="J52" s="5" t="inlineStr">
        <is>
          <t>cause habitat loss, suffer from habitat loss, prevent habitat loss</t>
        </is>
      </c>
      <c r="K52" s="5" t="inlineStr">
        <is>
          <t>'Habitat' là môi trường sống tự nhiên của một loài sinh vật cụ thể.</t>
        </is>
      </c>
    </row>
    <row r="53" ht="42" customHeight="1">
      <c r="A53" s="7" t="inlineStr">
        <is>
          <t>Unit 9: Protecting Environment</t>
        </is>
      </c>
      <c r="B53" s="8" t="inlineStr">
        <is>
          <t>poaching</t>
        </is>
      </c>
      <c r="C53" s="9" t="inlineStr">
        <is>
          <t>noun</t>
        </is>
      </c>
      <c r="D53" s="7" t="inlineStr">
        <is>
          <t>/ˈpəʊ.tʃɪŋ/</t>
        </is>
      </c>
      <c r="E53" s="10" t="inlineStr">
        <is>
          <t>Nạn săn bắt trộm động vật hoang dã trái phép</t>
        </is>
      </c>
      <c r="F53" s="11" t="inlineStr">
        <is>
          <t>B2</t>
        </is>
      </c>
      <c r="G53" s="10" t="inlineStr">
        <is>
          <t>Illegal poaching threatens the survival of elephants and rhinos for their horns and tusks.</t>
        </is>
      </c>
      <c r="H53" s="10" t="inlineStr">
        <is>
          <t>illegal hunting, wildlife trafficking</t>
        </is>
      </c>
      <c r="I53" s="10" t="inlineStr">
        <is>
          <t>wildlife protection, lawful conservation</t>
        </is>
      </c>
      <c r="J53" s="10" t="inlineStr">
        <is>
          <t>anti-poaching patrol, combat poaching, illegal poaching activities</t>
        </is>
      </c>
      <c r="K53" s="10" t="inlineStr">
        <is>
          <t>Người đi săn trộm gọi là 'poacher'. Động từ: 'poach'.</t>
        </is>
      </c>
    </row>
    <row r="54" ht="42" customHeight="1">
      <c r="A54" s="2" t="inlineStr">
        <is>
          <t>Unit 9: Protecting Environment</t>
        </is>
      </c>
      <c r="B54" s="3" t="inlineStr">
        <is>
          <t>conservation</t>
        </is>
      </c>
      <c r="C54" s="4" t="inlineStr">
        <is>
          <t>noun</t>
        </is>
      </c>
      <c r="D54" s="2" t="inlineStr">
        <is>
          <t>/ˌkɒn.səˈveɪ.ʃən/</t>
        </is>
      </c>
      <c r="E54" s="5" t="inlineStr">
        <is>
          <t>Công tác bảo tồn, gìn giữ tài nguyên thiên nhiên và động vật hoang dã</t>
        </is>
      </c>
      <c r="F54" s="6" t="inlineStr">
        <is>
          <t>B2</t>
        </is>
      </c>
      <c r="G54" s="5" t="inlineStr">
        <is>
          <t>The local community participated actively in sea turtle conservation projects.</t>
        </is>
      </c>
      <c r="H54" s="5" t="inlineStr">
        <is>
          <t>preservation, protection, safeguarding, stewardship</t>
        </is>
      </c>
      <c r="I54" s="5" t="inlineStr">
        <is>
          <t>destruction, exploitation, depletion</t>
        </is>
      </c>
      <c r="J54" s="5" t="inlineStr">
        <is>
          <t>wildlife conservation, environmental conservation, energy conservation, conservation area</t>
        </is>
      </c>
      <c r="K54" s="5" t="inlineStr">
        <is>
          <t>Nhà bảo tồn là 'conservationist'. Động từ: 'conserve'.</t>
        </is>
      </c>
    </row>
    <row r="55" ht="42" customHeight="1">
      <c r="A55" s="7" t="inlineStr">
        <is>
          <t>Unit 9: Protecting Environment</t>
        </is>
      </c>
      <c r="B55" s="8" t="inlineStr">
        <is>
          <t>ecosystem</t>
        </is>
      </c>
      <c r="C55" s="9" t="inlineStr">
        <is>
          <t>noun</t>
        </is>
      </c>
      <c r="D55" s="7" t="inlineStr">
        <is>
          <t>/ˈiː.kəʊˌsɪs.təm/</t>
        </is>
      </c>
      <c r="E55" s="10" t="inlineStr">
        <is>
          <t>Hệ sinh thái (cộng đồng sinh vật tương tác với môi trường vật lý xung quanh)</t>
        </is>
      </c>
      <c r="F55" s="11" t="inlineStr">
        <is>
          <t>B1</t>
        </is>
      </c>
      <c r="G55" s="10" t="inlineStr">
        <is>
          <t>Coral reefs are among the most delicate and diverse ecosystems on our planet.</t>
        </is>
      </c>
      <c r="H55" s="10" t="inlineStr">
        <is>
          <t>ecological system, natural biome</t>
        </is>
      </c>
      <c r="I55" s="10" t="inlineStr">
        <is>
          <t>N/A</t>
        </is>
      </c>
      <c r="J55" s="10" t="inlineStr">
        <is>
          <t>marine ecosystem, forest ecosystem, disrupt the ecosystem, fragile ecosystem</t>
        </is>
      </c>
      <c r="K55" s="10" t="inlineStr">
        <is>
          <t>Eco- (thuộc môi trường) + system (hệ thống).</t>
        </is>
      </c>
    </row>
    <row r="56" ht="42" customHeight="1">
      <c r="A56" s="2" t="inlineStr">
        <is>
          <t>Unit 10: Ecotourism</t>
        </is>
      </c>
      <c r="B56" s="3" t="inlineStr">
        <is>
          <t>ecotourism</t>
        </is>
      </c>
      <c r="C56" s="4" t="inlineStr">
        <is>
          <t>noun</t>
        </is>
      </c>
      <c r="D56" s="2" t="inlineStr">
        <is>
          <t>/ˈiː.kəʊˌtʊə.rɪ.zəm/</t>
        </is>
      </c>
      <c r="E56" s="5" t="inlineStr">
        <is>
          <t>Du lịch sinh thái (hình thức du lịch có trách nhiệm với thiên nhiên và văn hóa bản địa)</t>
        </is>
      </c>
      <c r="F56" s="6" t="inlineStr">
        <is>
          <t>B1</t>
        </is>
      </c>
      <c r="G56" s="5" t="inlineStr">
        <is>
          <t>Ecotourism generates income for local ethnic residents while protecting virgin forests.</t>
        </is>
      </c>
      <c r="H56" s="5" t="inlineStr">
        <is>
          <t>green tourism, ecological travel, sustainable tourism</t>
        </is>
      </c>
      <c r="I56" s="5" t="inlineStr">
        <is>
          <t>mass tourism, commercial sightseeing</t>
        </is>
      </c>
      <c r="J56" s="5" t="inlineStr">
        <is>
          <t>develop ecotourism, ecotourism destination, ecotourism tour, ecotourist</t>
        </is>
      </c>
      <c r="K56" s="5" t="inlineStr">
        <is>
          <t>Ghép từ 'ecology' (sinh thái học) + 'tourism' (du lịch).</t>
        </is>
      </c>
    </row>
    <row r="57" ht="42" customHeight="1">
      <c r="A57" s="7" t="inlineStr">
        <is>
          <t>Unit 10: Ecotourism</t>
        </is>
      </c>
      <c r="B57" s="8" t="inlineStr">
        <is>
          <t>flora and fauna</t>
        </is>
      </c>
      <c r="C57" s="9" t="inlineStr">
        <is>
          <t>noun phrase</t>
        </is>
      </c>
      <c r="D57" s="7" t="inlineStr">
        <is>
          <t>/ˌflɔː.rə ænd ˈfɔː.nə/</t>
        </is>
      </c>
      <c r="E57" s="10" t="inlineStr">
        <is>
          <t>Hệ thực vật và hệ động vật (toàn bộ cây cối và muôn thú trong một khu vực)</t>
        </is>
      </c>
      <c r="F57" s="11" t="inlineStr">
        <is>
          <t>B2</t>
        </is>
      </c>
      <c r="G57" s="10" t="inlineStr">
        <is>
          <t>Cuc Phuong National Park boasts an extraordinarily rich diversity of flora and fauna.</t>
        </is>
      </c>
      <c r="H57" s="10" t="inlineStr">
        <is>
          <t>plants and animals, wildlife and vegetation</t>
        </is>
      </c>
      <c r="I57" s="10" t="inlineStr">
        <is>
          <t>N/A</t>
        </is>
      </c>
      <c r="J57" s="10" t="inlineStr">
        <is>
          <t>native flora and fauna, unique flora and fauna, protect local flora and fauna</t>
        </is>
      </c>
      <c r="K57" s="10" t="inlineStr">
        <is>
          <t>'Flora' chỉ hoa cỏ / thực vật; 'Fauna' chỉ muông thú / động vật.</t>
        </is>
      </c>
    </row>
    <row r="58" ht="42" customHeight="1">
      <c r="A58" s="2" t="inlineStr">
        <is>
          <t>Unit 10: Ecotourism</t>
        </is>
      </c>
      <c r="B58" s="3" t="inlineStr">
        <is>
          <t>responsible travel</t>
        </is>
      </c>
      <c r="C58" s="4" t="inlineStr">
        <is>
          <t>noun phrase</t>
        </is>
      </c>
      <c r="D58" s="2" t="inlineStr">
        <is>
          <t>/rɪˈspɒn.sə.bəl ˈtræv.əl/</t>
        </is>
      </c>
      <c r="E58" s="5" t="inlineStr">
        <is>
          <t>Du lịch có trách nhiệm (tôn trọng môi trường tự nhiên và phong tục cộng đồng)</t>
        </is>
      </c>
      <c r="F58" s="6" t="inlineStr">
        <is>
          <t>B2</t>
        </is>
      </c>
      <c r="G58" s="5" t="inlineStr">
        <is>
          <t>Responsible travel involves minimizing waste, respecting local customs, and buying local goods.</t>
        </is>
      </c>
      <c r="H58" s="5" t="inlineStr">
        <is>
          <t>ethical tourism, mindful traveling</t>
        </is>
      </c>
      <c r="I58" s="5" t="inlineStr">
        <is>
          <t>destructive tourism, reckless travel</t>
        </is>
      </c>
      <c r="J58" s="5" t="inlineStr">
        <is>
          <t>practice responsible travel, principles of responsible travel</t>
        </is>
      </c>
      <c r="K58" s="5" t="inlineStr">
        <is>
          <t>Phương châm: 'Take nothing but memories, leave nothing but footprints'.</t>
        </is>
      </c>
    </row>
    <row r="59" ht="42" customHeight="1">
      <c r="A59" s="7" t="inlineStr">
        <is>
          <t>Unit 10: Ecotourism</t>
        </is>
      </c>
      <c r="B59" s="8" t="inlineStr">
        <is>
          <t>destination</t>
        </is>
      </c>
      <c r="C59" s="9" t="inlineStr">
        <is>
          <t>noun</t>
        </is>
      </c>
      <c r="D59" s="7" t="inlineStr">
        <is>
          <t>/ˌdes.tɪˈneɪ.ʃən/</t>
        </is>
      </c>
      <c r="E59" s="10" t="inlineStr">
        <is>
          <t>Điểm đến, đích đến, địa danh du lịch thu hút du khách</t>
        </is>
      </c>
      <c r="F59" s="11" t="inlineStr">
        <is>
          <t>A2</t>
        </is>
      </c>
      <c r="G59" s="10" t="inlineStr">
        <is>
          <t>Phu Quoc Island has emerged as one of the most attractive beach destinations in Asia.</t>
        </is>
      </c>
      <c r="H59" s="10" t="inlineStr">
        <is>
          <t>tourist spot, holiday location, arrival point</t>
        </is>
      </c>
      <c r="I59" s="10" t="inlineStr">
        <is>
          <t>point of departure, origin</t>
        </is>
      </c>
      <c r="J59" s="10" t="inlineStr">
        <is>
          <t>popular destination, tourist destination, travel destination, holiday destination</t>
        </is>
      </c>
      <c r="K59" s="10" t="inlineStr">
        <is>
          <t>Trọng âm 3: des-ti-NA-tion.</t>
        </is>
      </c>
    </row>
    <row r="60" ht="42" customHeight="1">
      <c r="A60" s="2" t="inlineStr">
        <is>
          <t>Unit 10: Ecotourism</t>
        </is>
      </c>
      <c r="B60" s="3" t="inlineStr">
        <is>
          <t>exotic</t>
        </is>
      </c>
      <c r="C60" s="4" t="inlineStr">
        <is>
          <t>adjective</t>
        </is>
      </c>
      <c r="D60" s="2" t="inlineStr">
        <is>
          <t>/ɪɡˈzɒt.ɪk/</t>
        </is>
      </c>
      <c r="E60" s="5" t="inlineStr">
        <is>
          <t>Kỳ lạ, độc đáo, mang vẻ đẹp quyến rũ từ xứ sở xa xôi</t>
        </is>
      </c>
      <c r="F60" s="6" t="inlineStr">
        <is>
          <t>B2</t>
        </is>
      </c>
      <c r="G60" s="5" t="inlineStr">
        <is>
          <t>The botanical garden is home to thousands of exotic orchid species and butterflies.</t>
        </is>
      </c>
      <c r="H60" s="5" t="inlineStr">
        <is>
          <t>unusual, foreign, striking, alluring</t>
        </is>
      </c>
      <c r="I60" s="5" t="inlineStr">
        <is>
          <t>familiar, native, ordinary, commonplace</t>
        </is>
      </c>
      <c r="J60" s="5" t="inlineStr">
        <is>
          <t>exotic plants, exotic wildlife, exotic island, exotic flavor</t>
        </is>
      </c>
      <c r="K60" s="5" t="inlineStr">
        <is>
          <t>Trọng âm 2. Âm đầu đọc là /ɪɡˈzɒt.ɪk/.</t>
        </is>
      </c>
    </row>
    <row r="61" ht="42" customHeight="1">
      <c r="A61" s="7" t="inlineStr">
        <is>
          <t>Unit 10: Ecotourism</t>
        </is>
      </c>
      <c r="B61" s="8" t="inlineStr">
        <is>
          <t>environmental impact</t>
        </is>
      </c>
      <c r="C61" s="9" t="inlineStr">
        <is>
          <t>noun phrase</t>
        </is>
      </c>
      <c r="D61" s="7" t="inlineStr">
        <is>
          <t>/ɪnˌvaɪ.rənˈmen.təl ˈɪm.pækt/</t>
        </is>
      </c>
      <c r="E61" s="10" t="inlineStr">
        <is>
          <t>Tác động môi trường (ảnh hưởng của các hoạt động của con người lên thiên nhiên)</t>
        </is>
      </c>
      <c r="F61" s="11" t="inlineStr">
        <is>
          <t>B2</t>
        </is>
      </c>
      <c r="G61" s="10" t="inlineStr">
        <is>
          <t>Before building new resorts, developers must conduct a comprehensive environmental impact assessment.</t>
        </is>
      </c>
      <c r="H61" s="10" t="inlineStr">
        <is>
          <t>ecological footprint, environmental effect</t>
        </is>
      </c>
      <c r="I61" s="10" t="inlineStr">
        <is>
          <t>N/A</t>
        </is>
      </c>
      <c r="J61" s="10" t="inlineStr">
        <is>
          <t>minimize environmental impact, negative environmental impact, assess environmental impact</t>
        </is>
      </c>
      <c r="K61" s="10" t="inlineStr">
        <is>
          <t>Cụm từ EIA: Environmental Impact Assessment (Đánh giá tác động môi trường).</t>
        </is>
      </c>
    </row>
  </sheetData>
  <autoFilter ref="A1:K61"/>
  <dataValidations count="1">
    <dataValidation sqref="F2:F61" showDropDown="0" showInputMessage="0" showErrorMessage="0" allowBlank="1" type="list">
      <formula1>"A2,B1,B2,C1"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0"/>
  <sheetViews>
    <sheetView showGridLines="1" workbookViewId="0">
      <selection activeCell="A1" sqref="A1"/>
    </sheetView>
  </sheetViews>
  <sheetFormatPr baseColWidth="8" defaultRowHeight="15"/>
  <cols>
    <col width="30" customWidth="1" min="1" max="1"/>
    <col width="15" customWidth="1" min="2" max="2"/>
    <col width="14" customWidth="1" min="3" max="3"/>
    <col width="20" customWidth="1" min="4" max="4"/>
    <col width="6" customWidth="1" min="5" max="5"/>
    <col width="16" customWidth="1" min="6" max="6"/>
    <col width="14" customWidth="1" min="7" max="7"/>
    <col width="14" customWidth="1" min="8" max="8"/>
    <col width="26" customWidth="1" min="9" max="9"/>
  </cols>
  <sheetData>
    <row r="1" ht="32" customHeight="1">
      <c r="A1" s="12" t="inlineStr">
        <is>
          <t>TỔNG HỢP VÀ PHÂN TÍCH TỪ VỰNG TIẾNG ANH LỚP 10</t>
        </is>
      </c>
    </row>
    <row r="2" ht="20" customHeight="1">
      <c r="A2" s="13" t="inlineStr">
        <is>
          <t>Hệ thống từ vựng học thuật chuẩn hóa theo 10 Unit chương trình GDPT 2018 (Global Success, Friends Global, Bright, i-Learn Smart World)</t>
        </is>
      </c>
    </row>
    <row r="4" ht="18" customHeight="1">
      <c r="B4" s="14" t="inlineStr">
        <is>
          <t>TỔNG SỐ TỪ VỰNG</t>
        </is>
      </c>
      <c r="C4" s="15" t="n"/>
      <c r="D4" s="14" t="inlineStr">
        <is>
          <t>SỐ CHỦ ĐỀ (UNITS)</t>
        </is>
      </c>
      <c r="E4" s="15" t="n"/>
      <c r="F4" s="14" t="inlineStr">
        <is>
          <t>TRÌNH ĐỘ B1 (INTERMEDIATE)</t>
        </is>
      </c>
      <c r="G4" s="15" t="n"/>
      <c r="H4" s="14" t="inlineStr">
        <is>
          <t>TRÌNH ĐỘ B2 (UPPER-INTER)</t>
        </is>
      </c>
      <c r="I4" s="15" t="n"/>
    </row>
    <row r="5" ht="24" customHeight="1">
      <c r="B5" s="16">
        <f>COUNTA('Từ Vựng Tiếng Anh Lớp 10'!B2:B61)</f>
        <v/>
      </c>
      <c r="C5" s="15" t="n"/>
      <c r="D5" s="16" t="inlineStr">
        <is>
          <t>10</t>
        </is>
      </c>
      <c r="E5" s="15" t="n"/>
      <c r="F5" s="16">
        <f>COUNTIF('Từ Vựng Tiếng Anh Lớp 10'!F2:F61, "B1")</f>
        <v/>
      </c>
      <c r="G5" s="15" t="n"/>
      <c r="H5" s="16">
        <f>COUNTIF('Từ Vựng Tiếng Anh Lớp 10'!F2:F61, "B2")</f>
        <v/>
      </c>
      <c r="I5" s="15" t="n"/>
    </row>
    <row r="6" ht="18" customHeight="1">
      <c r="B6" s="15" t="n"/>
      <c r="C6" s="15" t="n"/>
      <c r="D6" s="15" t="n"/>
      <c r="E6" s="15" t="n"/>
      <c r="F6" s="15" t="n"/>
      <c r="G6" s="15" t="n"/>
      <c r="H6" s="15" t="n"/>
      <c r="I6" s="15" t="n"/>
    </row>
    <row r="8" ht="22" customHeight="1">
      <c r="A8" s="17" t="inlineStr">
        <is>
          <t>BẢNG 1: THỐNG KÊ TỪ VỰNG THEO TỪNG CHỦ ĐỀ LỚP 10</t>
        </is>
      </c>
      <c r="F8" s="17" t="inlineStr">
        <is>
          <t>BẢNG 2: PHÂN BỐ THEO TRÌNH ĐỘ CEFR</t>
        </is>
      </c>
    </row>
    <row r="9" ht="24" customHeight="1">
      <c r="A9" s="1" t="inlineStr">
        <is>
          <t>Mã &amp; Tên Chủ Đề</t>
        </is>
      </c>
      <c r="B9" s="1" t="inlineStr">
        <is>
          <t>Số Từ Vựng</t>
        </is>
      </c>
      <c r="C9" s="1" t="inlineStr">
        <is>
          <t>Tỷ Lệ (%)</t>
        </is>
      </c>
      <c r="D9" s="1" t="inlineStr">
        <is>
          <t>Cấp Độ Mục Tiêu</t>
        </is>
      </c>
      <c r="F9" s="1" t="inlineStr">
        <is>
          <t>Cấp Độ CEFR</t>
        </is>
      </c>
      <c r="G9" s="1" t="inlineStr">
        <is>
          <t>Số Từ Vựng</t>
        </is>
      </c>
      <c r="H9" s="1" t="inlineStr">
        <is>
          <t>Tỷ Lệ (%)</t>
        </is>
      </c>
    </row>
    <row r="10" ht="20" customHeight="1">
      <c r="A10" s="5" t="inlineStr">
        <is>
          <t>Unit 1: Family Life</t>
        </is>
      </c>
      <c r="B10" s="6">
        <f>COUNTIF('Từ Vựng Tiếng Anh Lớp 10'!$A$2:$A$61, A10)</f>
        <v/>
      </c>
      <c r="C10" s="18">
        <f>B10/$B$20</f>
        <v/>
      </c>
      <c r="D10" s="4" t="inlineStr">
        <is>
          <t>B1 - B2</t>
        </is>
      </c>
      <c r="F10" s="6" t="inlineStr">
        <is>
          <t>A2</t>
        </is>
      </c>
      <c r="G10" s="6">
        <f>COUNTIF('Từ Vựng Tiếng Anh Lớp 10'!$F$2:$F$61, "A2")</f>
        <v/>
      </c>
      <c r="H10" s="18">
        <f>G10/$G$13</f>
        <v/>
      </c>
    </row>
    <row r="11" ht="20" customHeight="1">
      <c r="A11" s="10" t="inlineStr">
        <is>
          <t>Unit 2: Humans &amp; Environment</t>
        </is>
      </c>
      <c r="B11" s="11">
        <f>COUNTIF('Từ Vựng Tiếng Anh Lớp 10'!$A$2:$A$61, A11)</f>
        <v/>
      </c>
      <c r="C11" s="19">
        <f>B11/$B$20</f>
        <v/>
      </c>
      <c r="D11" s="9" t="inlineStr">
        <is>
          <t>B1 - B2</t>
        </is>
      </c>
      <c r="F11" s="11" t="inlineStr">
        <is>
          <t>B1</t>
        </is>
      </c>
      <c r="G11" s="11">
        <f>COUNTIF('Từ Vựng Tiếng Anh Lớp 10'!$F$2:$F$61, "B1")</f>
        <v/>
      </c>
      <c r="H11" s="19">
        <f>G11/$G$13</f>
        <v/>
      </c>
    </row>
    <row r="12" ht="20" customHeight="1">
      <c r="A12" s="5" t="inlineStr">
        <is>
          <t>Unit 3: Music</t>
        </is>
      </c>
      <c r="B12" s="6">
        <f>COUNTIF('Từ Vựng Tiếng Anh Lớp 10'!$A$2:$A$61, A12)</f>
        <v/>
      </c>
      <c r="C12" s="18">
        <f>B12/$B$20</f>
        <v/>
      </c>
      <c r="D12" s="4" t="inlineStr">
        <is>
          <t>A2 - B2</t>
        </is>
      </c>
      <c r="F12" s="6" t="inlineStr">
        <is>
          <t>B2</t>
        </is>
      </c>
      <c r="G12" s="6">
        <f>COUNTIF('Từ Vựng Tiếng Anh Lớp 10'!$F$2:$F$61, "B2")</f>
        <v/>
      </c>
      <c r="H12" s="18">
        <f>G12/$G$13</f>
        <v/>
      </c>
    </row>
    <row r="13" ht="22" customHeight="1">
      <c r="A13" s="10" t="inlineStr">
        <is>
          <t>Unit 4: For a Better Community</t>
        </is>
      </c>
      <c r="B13" s="11">
        <f>COUNTIF('Từ Vựng Tiếng Anh Lớp 10'!$A$2:$A$61, A13)</f>
        <v/>
      </c>
      <c r="C13" s="19">
        <f>B13/$B$20</f>
        <v/>
      </c>
      <c r="D13" s="9" t="inlineStr">
        <is>
          <t>B1 - B2</t>
        </is>
      </c>
      <c r="F13" s="20" t="inlineStr">
        <is>
          <t>Tổng cộng</t>
        </is>
      </c>
      <c r="G13" s="20">
        <f>SUM(G10:G12)</f>
        <v/>
      </c>
      <c r="H13" s="21">
        <f>SUM(H10:H12)</f>
        <v/>
      </c>
    </row>
    <row r="14" ht="20" customHeight="1">
      <c r="A14" s="5" t="inlineStr">
        <is>
          <t>Unit 5: Inventions</t>
        </is>
      </c>
      <c r="B14" s="6">
        <f>COUNTIF('Từ Vựng Tiếng Anh Lớp 10'!$A$2:$A$61, A14)</f>
        <v/>
      </c>
      <c r="C14" s="18">
        <f>B14/$B$20</f>
        <v/>
      </c>
      <c r="D14" s="4" t="inlineStr">
        <is>
          <t>B1 - B2</t>
        </is>
      </c>
    </row>
    <row r="15" ht="20" customHeight="1">
      <c r="A15" s="10" t="inlineStr">
        <is>
          <t>Unit 6: Gender Equality</t>
        </is>
      </c>
      <c r="B15" s="11">
        <f>COUNTIF('Từ Vựng Tiếng Anh Lớp 10'!$A$2:$A$61, A15)</f>
        <v/>
      </c>
      <c r="C15" s="19">
        <f>B15/$B$20</f>
        <v/>
      </c>
      <c r="D15" s="9" t="inlineStr">
        <is>
          <t>B2</t>
        </is>
      </c>
    </row>
    <row r="16" ht="20" customHeight="1">
      <c r="A16" s="5" t="inlineStr">
        <is>
          <t>Unit 7: VN &amp; International Orgs</t>
        </is>
      </c>
      <c r="B16" s="6">
        <f>COUNTIF('Từ Vựng Tiếng Anh Lớp 10'!$A$2:$A$61, A16)</f>
        <v/>
      </c>
      <c r="C16" s="18">
        <f>B16/$B$20</f>
        <v/>
      </c>
      <c r="D16" s="4" t="inlineStr">
        <is>
          <t>B1 - B2</t>
        </is>
      </c>
    </row>
    <row r="17" ht="20" customHeight="1">
      <c r="A17" s="10" t="inlineStr">
        <is>
          <t>Unit 8: New Ways to Learn</t>
        </is>
      </c>
      <c r="B17" s="11">
        <f>COUNTIF('Từ Vựng Tiếng Anh Lớp 10'!$A$2:$A$61, A17)</f>
        <v/>
      </c>
      <c r="C17" s="19">
        <f>B17/$B$20</f>
        <v/>
      </c>
      <c r="D17" s="9" t="inlineStr">
        <is>
          <t>B1 - B2</t>
        </is>
      </c>
    </row>
    <row r="18" ht="20" customHeight="1">
      <c r="A18" s="5" t="inlineStr">
        <is>
          <t>Unit 9: Protecting Environment</t>
        </is>
      </c>
      <c r="B18" s="6">
        <f>COUNTIF('Từ Vựng Tiếng Anh Lớp 10'!$A$2:$A$61, A18)</f>
        <v/>
      </c>
      <c r="C18" s="18">
        <f>B18/$B$20</f>
        <v/>
      </c>
      <c r="D18" s="4" t="inlineStr">
        <is>
          <t>B1 - B2</t>
        </is>
      </c>
    </row>
    <row r="19" ht="20" customHeight="1">
      <c r="A19" s="10" t="inlineStr">
        <is>
          <t>Unit 10: Ecotourism</t>
        </is>
      </c>
      <c r="B19" s="11">
        <f>COUNTIF('Từ Vựng Tiếng Anh Lớp 10'!$A$2:$A$61, A19)</f>
        <v/>
      </c>
      <c r="C19" s="19">
        <f>B19/$B$20</f>
        <v/>
      </c>
      <c r="D19" s="9" t="inlineStr">
        <is>
          <t>A2 - B2</t>
        </is>
      </c>
    </row>
    <row r="20" ht="22" customHeight="1">
      <c r="A20" s="22" t="inlineStr">
        <is>
          <t>Tổng cộng</t>
        </is>
      </c>
      <c r="B20" s="20">
        <f>SUM(B10:B19)</f>
        <v/>
      </c>
      <c r="C20" s="21">
        <f>SUM(C10:C19)</f>
        <v/>
      </c>
      <c r="D20" s="20" t="inlineStr">
        <is>
          <t>Toàn bộ 10 Units</t>
        </is>
      </c>
    </row>
    <row r="40">
      <c r="A40" s="17" t="inlineStr">
        <is>
          <t>CHIẾN LƯỢC HỌC TỪ VỰNG TIẾNG ANH LỚP 10 ĐẠT ĐIỂM 9+ VÀ CHUẨN BỊ THI TỐT NGHIỆP / IELTS</t>
        </is>
      </c>
    </row>
    <row r="41">
      <c r="A41" s="23" t="inlineStr">
        <is>
          <t>1. Bước nhảy vọt từ THCS lên THPT (Nâng tầm vốn từ từ B1 lên B2):</t>
        </is>
      </c>
    </row>
    <row r="42" ht="28" customHeight="1">
      <c r="A42" s="24" t="inlineStr">
        <is>
          <t>Lớp 10 đòi hỏi học sinh tiếp cận nhiều từ vựng học thuật (academic vocabulary) liên quan đến bình đẳng giới, ngoại giao quốc tế, công nghệ sinh học và môi trường. Hãy chú trọng hiểu sâu nghĩa ngữ cảnh thay vì dịch thô từng từ.</t>
        </is>
      </c>
    </row>
    <row r="43">
      <c r="A43" s="23" t="inlineStr">
        <is>
          <t>2. Học Collocations và Cụm động từ cố định (Collocations Mastery):</t>
        </is>
      </c>
    </row>
    <row r="44" ht="28" customHeight="1">
      <c r="A44" s="24" t="inlineStr">
        <is>
          <t>Điểm số các bài thi trắc nghiệm THPT và Viết luận phụ thuộc rất lớn vào việc dùng đúng cụm từ cố định (ví dụ: 'break gender stereotypes', 'ease financial burden', 'integrate into global economy', 'endangered species').</t>
        </is>
      </c>
    </row>
    <row r="45">
      <c r="A45" s="23" t="inlineStr">
        <is>
          <t>3. Khai thác họ từ và quy tắc cấu tạo từ (Word Families &amp; Affixes):</t>
        </is>
      </c>
    </row>
    <row r="46" ht="28" customHeight="1">
      <c r="A46" s="24" t="inlineStr">
        <is>
          <t>Mỗi khi học một từ, hãy mở rộng sang danh từ, tính từ, trạng từ và tiền tố/hậu tố liên quan (Ví dụ: sustain -&gt; sustainable -&gt; sustainability; innovate -&gt; innovative -&gt; innovation). Dạng bài Word Formation chiếm tỷ lệ điểm quan trọng.</t>
        </is>
      </c>
    </row>
    <row r="47">
      <c r="A47" s="23" t="inlineStr">
        <is>
          <t>4. Luyện tập theo ngữ cảnh đọc hiểu (Reading in Context):</t>
        </is>
      </c>
    </row>
    <row r="48" ht="28" customHeight="1">
      <c r="A48" s="24" t="inlineStr">
        <is>
          <t>Đọc các bài báo tiếng Anh (BBC Learning English, National Geographic, UN News) liên quan trực tiếp đến 10 chủ đề trên để thấy cách người bản xứ sử dụng từ vựng trong văn cảnh thực tế.</t>
        </is>
      </c>
    </row>
    <row r="49">
      <c r="A49" s="23" t="inlineStr">
        <is>
          <t>5. Sử dụng Flashcard tương tác và theo dõi tiến độ:</t>
        </is>
      </c>
    </row>
    <row r="50" ht="28" customHeight="1">
      <c r="A50" s="24" t="inlineStr">
        <is>
          <t>Thường xuyên làm bài tập tại Tab 'Flashcard &amp; Luyện Tập', cập nhật trạng thái 'Cần ôn lại' cho các từ khó hoặc dễ nhầm lẫn để ôn tập định kỳ trước các đợt thi học kỳ.</t>
        </is>
      </c>
    </row>
  </sheetData>
  <mergeCells count="20">
    <mergeCell ref="F4:G4"/>
    <mergeCell ref="A41:I41"/>
    <mergeCell ref="A46:I46"/>
    <mergeCell ref="H4:I4"/>
    <mergeCell ref="A50:I50"/>
    <mergeCell ref="A2:I2"/>
    <mergeCell ref="A47:I47"/>
    <mergeCell ref="A42:I42"/>
    <mergeCell ref="B5:C6"/>
    <mergeCell ref="D5:E6"/>
    <mergeCell ref="H5:I6"/>
    <mergeCell ref="A43:I43"/>
    <mergeCell ref="A44:I44"/>
    <mergeCell ref="D4:E4"/>
    <mergeCell ref="A48:I48"/>
    <mergeCell ref="A49:I49"/>
    <mergeCell ref="A1:I1"/>
    <mergeCell ref="F5:G6"/>
    <mergeCell ref="A45:I45"/>
    <mergeCell ref="B4:C4"/>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29"/>
  <sheetViews>
    <sheetView showGridLines="1" workbookViewId="0">
      <pane ySplit="4" topLeftCell="A5" activePane="bottomLeft" state="frozen"/>
      <selection pane="bottomLeft" activeCell="A1" sqref="A1"/>
    </sheetView>
  </sheetViews>
  <sheetFormatPr baseColWidth="8" defaultRowHeight="15"/>
  <cols>
    <col width="8" customWidth="1" min="1" max="1"/>
    <col width="26" customWidth="1" min="2" max="2"/>
    <col width="22" customWidth="1" min="3" max="3"/>
    <col width="24" customWidth="1" min="4" max="4"/>
    <col width="28" customWidth="1" min="5" max="5"/>
    <col width="48" customWidth="1" min="6" max="6"/>
    <col width="18" customWidth="1" min="7" max="7"/>
    <col width="38" customWidth="1" min="8" max="8"/>
  </cols>
  <sheetData>
    <row r="1" ht="32" customHeight="1">
      <c r="A1" s="12" t="inlineStr">
        <is>
          <t>BẢNG LUYỆN TẬP &amp; ĐÁNH GIÁ MỨC ĐỘ GHI NHỚ TỪ VỰNG TIẾNG ANH LỚP 10</t>
        </is>
      </c>
    </row>
    <row r="2" ht="20" customHeight="1">
      <c r="A2" s="13" t="inlineStr">
        <is>
          <t>Hướng dẫn: Tự điền từ vào chỗ trống trong câu, sau đó đánh giá mức độ ghi nhớ ở cột 'Trạng Thái Ôn Tập' để lên kế hoạch ôn luyện định kỳ.</t>
        </is>
      </c>
    </row>
    <row r="4" ht="28" customHeight="1">
      <c r="A4" s="1" t="inlineStr">
        <is>
          <t>STT</t>
        </is>
      </c>
      <c r="B4" s="1" t="inlineStr">
        <is>
          <t>Chủ Đề (Topic)</t>
        </is>
      </c>
      <c r="C4" s="1" t="inlineStr">
        <is>
          <t>Từ Cần Nhớ (Target Term)</t>
        </is>
      </c>
      <c r="D4" s="1" t="inlineStr">
        <is>
          <t>Loại Từ &amp; Phiên Âm</t>
        </is>
      </c>
      <c r="E4" s="1" t="inlineStr">
        <is>
          <t>Định Nghĩa Tiếng Việt</t>
        </is>
      </c>
      <c r="F4" s="1" t="inlineStr">
        <is>
          <t>Câu Hỏi Luyện Tập (Điền từ vào chỗ trống)</t>
        </is>
      </c>
      <c r="G4" s="1" t="inlineStr">
        <is>
          <t>Trạng Thái Ôn Tập</t>
        </is>
      </c>
      <c r="H4" s="1" t="inlineStr">
        <is>
          <t>Ghi Chú Ôn Tập Cá Nhân</t>
        </is>
      </c>
    </row>
    <row r="5" ht="36" customHeight="1">
      <c r="A5" s="11" t="n">
        <v>1</v>
      </c>
      <c r="B5" s="7" t="inlineStr">
        <is>
          <t>Unit 1: Family Life</t>
        </is>
      </c>
      <c r="C5" s="8" t="inlineStr">
        <is>
          <t>breadwinner</t>
        </is>
      </c>
      <c r="D5" s="9" t="inlineStr">
        <is>
          <t>noun | /ˈbredˌwɪn.ər/</t>
        </is>
      </c>
      <c r="E5" s="10" t="inlineStr">
        <is>
          <t>Trụ cột gia đình</t>
        </is>
      </c>
      <c r="F5" s="10" t="inlineStr">
        <is>
          <t>In many modern households, both parents share the financial responsibilities instead of relying on a single _____.</t>
        </is>
      </c>
      <c r="G5" s="11" t="inlineStr">
        <is>
          <t>Đã thuộc</t>
        </is>
      </c>
      <c r="H5" s="10" t="inlineStr">
        <is>
          <t>Nghĩa đen: kiếm bánh mì -&gt; người kiếm tiền chính</t>
        </is>
      </c>
    </row>
    <row r="6" ht="36" customHeight="1">
      <c r="A6" s="6" t="n">
        <v>2</v>
      </c>
      <c r="B6" s="2" t="inlineStr">
        <is>
          <t>Unit 1: Family Life</t>
        </is>
      </c>
      <c r="C6" s="3" t="inlineStr">
        <is>
          <t>heavy lifting</t>
        </is>
      </c>
      <c r="D6" s="4" t="inlineStr">
        <is>
          <t>noun phrase | /ˌhev.i ˈlɪf.tɪŋ/</t>
        </is>
      </c>
      <c r="E6" s="5" t="inlineStr">
        <is>
          <t>Việc nặng nhọc / mang vác</t>
        </is>
      </c>
      <c r="F6" s="5" t="inlineStr">
        <is>
          <t>My older brother usually helps my father with the _____ around the house, such as carrying heavy furniture.</t>
        </is>
      </c>
      <c r="G6" s="6" t="inlineStr">
        <is>
          <t>Đã thuộc</t>
        </is>
      </c>
      <c r="H6" s="5" t="inlineStr">
        <is>
          <t>Học cụm do the heavy lifting</t>
        </is>
      </c>
    </row>
    <row r="7" ht="36" customHeight="1">
      <c r="A7" s="11" t="n">
        <v>3</v>
      </c>
      <c r="B7" s="7" t="inlineStr">
        <is>
          <t>Unit 1: Family Life</t>
        </is>
      </c>
      <c r="C7" s="8" t="inlineStr">
        <is>
          <t>gratitude</t>
        </is>
      </c>
      <c r="D7" s="9" t="inlineStr">
        <is>
          <t>noun | /ˈɡræt.ɪ.tʃuːd/</t>
        </is>
      </c>
      <c r="E7" s="10" t="inlineStr">
        <is>
          <t>Lòng biết ơn, tri ân</t>
        </is>
      </c>
      <c r="F7" s="10" t="inlineStr">
        <is>
          <t>On Teacher's Day, students express their profound _____ to their mentors for their endless dedication.</t>
        </is>
      </c>
      <c r="G7" s="11" t="inlineStr">
        <is>
          <t>Đang học</t>
        </is>
      </c>
      <c r="H7" s="10" t="inlineStr">
        <is>
          <t>Tính từ là grateful to sb for sth</t>
        </is>
      </c>
    </row>
    <row r="8" ht="36" customHeight="1">
      <c r="A8" s="6" t="n">
        <v>4</v>
      </c>
      <c r="B8" s="2" t="inlineStr">
        <is>
          <t>Unit 2: Humans &amp; Environment</t>
        </is>
      </c>
      <c r="C8" s="3" t="inlineStr">
        <is>
          <t>carbon footprint</t>
        </is>
      </c>
      <c r="D8" s="4" t="inlineStr">
        <is>
          <t>noun phrase | /ˌkɑː.bən ˈfʊt.prɪnt/</t>
        </is>
      </c>
      <c r="E8" s="5" t="inlineStr">
        <is>
          <t>Dấu chân carbon</t>
        </is>
      </c>
      <c r="F8" s="5" t="inlineStr">
        <is>
          <t>Choosing to ride a bicycle or take the bus to school significantly reduces your personal _____.</t>
        </is>
      </c>
      <c r="G8" s="6" t="inlineStr">
        <is>
          <t>Đã thuộc</t>
        </is>
      </c>
      <c r="H8" s="5" t="inlineStr">
        <is>
          <t>Cụm reduce / minimize carbon footprint</t>
        </is>
      </c>
    </row>
    <row r="9" ht="36" customHeight="1">
      <c r="A9" s="11" t="n">
        <v>5</v>
      </c>
      <c r="B9" s="7" t="inlineStr">
        <is>
          <t>Unit 2: Humans &amp; Environment</t>
        </is>
      </c>
      <c r="C9" s="8" t="inlineStr">
        <is>
          <t>biodegradable</t>
        </is>
      </c>
      <c r="D9" s="9" t="inlineStr">
        <is>
          <t>adj | /ˌbaɪ.əʊ.dɪˈɡreɪ.də.bəl/</t>
        </is>
      </c>
      <c r="E9" s="10" t="inlineStr">
        <is>
          <t>Phân hủy sinh học</t>
        </is>
      </c>
      <c r="F9" s="10" t="inlineStr">
        <is>
          <t>The government encourages restaurants to use _____ packaging made from sugarcane instead of single-use plastic.</t>
        </is>
      </c>
      <c r="G9" s="11" t="inlineStr">
        <is>
          <t>Đang học</t>
        </is>
      </c>
      <c r="H9" s="10" t="inlineStr">
        <is>
          <t>Trọng âm 4: bio-de-GRA-da-ble</t>
        </is>
      </c>
    </row>
    <row r="10" ht="36" customHeight="1">
      <c r="A10" s="6" t="n">
        <v>6</v>
      </c>
      <c r="B10" s="2" t="inlineStr">
        <is>
          <t>Unit 2: Humans &amp; Environment</t>
        </is>
      </c>
      <c r="C10" s="3" t="inlineStr">
        <is>
          <t>sustainable</t>
        </is>
      </c>
      <c r="D10" s="4" t="inlineStr">
        <is>
          <t>adj | /səˈsteɪ.nə.bəl/</t>
        </is>
      </c>
      <c r="E10" s="5" t="inlineStr">
        <is>
          <t>Bền vững, bảo vệ MT</t>
        </is>
      </c>
      <c r="F10" s="5" t="inlineStr">
        <is>
          <t>Solar and wind power provide _____ energy alternatives to fossil fuels without depleting resources.</t>
        </is>
      </c>
      <c r="G10" s="6" t="inlineStr">
        <is>
          <t>Đã thuộc</t>
        </is>
      </c>
      <c r="H10" s="5" t="inlineStr">
        <is>
          <t>Danh từ: sustainability</t>
        </is>
      </c>
    </row>
    <row r="11" ht="36" customHeight="1">
      <c r="A11" s="11" t="n">
        <v>7</v>
      </c>
      <c r="B11" s="7" t="inlineStr">
        <is>
          <t>Unit 3: Music</t>
        </is>
      </c>
      <c r="C11" s="8" t="inlineStr">
        <is>
          <t>compose</t>
        </is>
      </c>
      <c r="D11" s="9" t="inlineStr">
        <is>
          <t>verb | /kəmˈpəʊz/</t>
        </is>
      </c>
      <c r="E11" s="10" t="inlineStr">
        <is>
          <t>Sáng tác bản nhạc</t>
        </is>
      </c>
      <c r="F11" s="10" t="inlineStr">
        <is>
          <t>Do you know who _____ the famous national anthem 'Tien Quan Ca' of Vietnam?</t>
        </is>
      </c>
      <c r="G11" s="11" t="inlineStr">
        <is>
          <t>Đã thuộc</t>
        </is>
      </c>
      <c r="H11" s="10" t="inlineStr">
        <is>
          <t>Phân biệt composer (nhạc sĩ) và singer</t>
        </is>
      </c>
    </row>
    <row r="12" ht="36" customHeight="1">
      <c r="A12" s="6" t="n">
        <v>8</v>
      </c>
      <c r="B12" s="2" t="inlineStr">
        <is>
          <t>Unit 3: Music</t>
        </is>
      </c>
      <c r="C12" s="3" t="inlineStr">
        <is>
          <t>audition</t>
        </is>
      </c>
      <c r="D12" s="4" t="inlineStr">
        <is>
          <t>noun/verb | /ɔːˈdɪʃ.ən/</t>
        </is>
      </c>
      <c r="E12" s="5" t="inlineStr">
        <is>
          <t>Buổi thử giọng / Thử vai</t>
        </is>
      </c>
      <c r="F12" s="5" t="inlineStr">
        <is>
          <t>Over five hundred aspiring young singers registered to _____ for the national voice talent show.</t>
        </is>
      </c>
      <c r="G12" s="6" t="inlineStr">
        <is>
          <t>Đang học</t>
        </is>
      </c>
      <c r="H12" s="5" t="inlineStr">
        <is>
          <t>Cụm audition for a competition/role</t>
        </is>
      </c>
    </row>
    <row r="13" ht="36" customHeight="1">
      <c r="A13" s="11" t="n">
        <v>9</v>
      </c>
      <c r="B13" s="7" t="inlineStr">
        <is>
          <t>Unit 3: Music</t>
        </is>
      </c>
      <c r="C13" s="8" t="inlineStr">
        <is>
          <t>phenomenon</t>
        </is>
      </c>
      <c r="D13" s="9" t="inlineStr">
        <is>
          <t>noun | /fəˈnɒm.ɪ.nən/</t>
        </is>
      </c>
      <c r="E13" s="10" t="inlineStr">
        <is>
          <t>Hiện tượng đặc biệt</t>
        </is>
      </c>
      <c r="F13" s="10" t="inlineStr">
        <is>
          <t>The teenage pop sensation became an international musical _____ after her viral debut music video.</t>
        </is>
      </c>
      <c r="G13" s="11" t="inlineStr">
        <is>
          <t>Cần ôn lại</t>
        </is>
      </c>
      <c r="H13" s="10" t="inlineStr">
        <is>
          <t>Số nhiều là phenomena (đặc biệt)</t>
        </is>
      </c>
    </row>
    <row r="14" ht="36" customHeight="1">
      <c r="A14" s="6" t="n">
        <v>10</v>
      </c>
      <c r="B14" s="2" t="inlineStr">
        <is>
          <t>Unit 4: For a Better Community</t>
        </is>
      </c>
      <c r="C14" s="3" t="inlineStr">
        <is>
          <t>underprivileged</t>
        </is>
      </c>
      <c r="D14" s="4" t="inlineStr">
        <is>
          <t>adj | /ˌʌn.dəˈprɪv.əl.ɪdʒd/</t>
        </is>
      </c>
      <c r="E14" s="5" t="inlineStr">
        <is>
          <t>Thiệt thòi, hoàn cảnh khó khăn</t>
        </is>
      </c>
      <c r="F14" s="5" t="inlineStr">
        <is>
          <t>The youth volunteer club organized free weekend tutoring classes for _____ children in rural areas.</t>
        </is>
      </c>
      <c r="G14" s="6" t="inlineStr">
        <is>
          <t>Đang học</t>
        </is>
      </c>
      <c r="H14" s="5" t="inlineStr">
        <is>
          <t>Đồng nghĩa với disadvantaged, needy</t>
        </is>
      </c>
    </row>
    <row r="15" ht="36" customHeight="1">
      <c r="A15" s="11" t="n">
        <v>11</v>
      </c>
      <c r="B15" s="7" t="inlineStr">
        <is>
          <t>Unit 4: For a Better Community</t>
        </is>
      </c>
      <c r="C15" s="8" t="inlineStr">
        <is>
          <t>donate</t>
        </is>
      </c>
      <c r="D15" s="9" t="inlineStr">
        <is>
          <t>verb | /dəʊˈneɪt/</t>
        </is>
      </c>
      <c r="E15" s="10" t="inlineStr">
        <is>
          <t>Quyên góp, ủng hộ</t>
        </is>
      </c>
      <c r="F15" s="10" t="inlineStr">
        <is>
          <t>Local citizens were encouraged to _____ warm clothes, textbooks, and food to victims of the typhoon.</t>
        </is>
      </c>
      <c r="G15" s="11" t="inlineStr">
        <is>
          <t>Đã thuộc</t>
        </is>
      </c>
      <c r="H15" s="10" t="inlineStr">
        <is>
          <t>Danh từ donation, người tặng: donor</t>
        </is>
      </c>
    </row>
    <row r="16" ht="36" customHeight="1">
      <c r="A16" s="6" t="n">
        <v>12</v>
      </c>
      <c r="B16" s="2" t="inlineStr">
        <is>
          <t>Unit 4: For a Better Community</t>
        </is>
      </c>
      <c r="C16" s="3" t="inlineStr">
        <is>
          <t>non-profit organization</t>
        </is>
      </c>
      <c r="D16" s="4" t="inlineStr">
        <is>
          <t>noun phrase | /ˌnɒnˈprɒf.ɪt ˌɔː.ɡən.aɪˈzeɪ.ʃən/</t>
        </is>
      </c>
      <c r="E16" s="5" t="inlineStr">
        <is>
          <t>Tổ chức phi lợi nhuận</t>
        </is>
      </c>
      <c r="F16" s="5" t="inlineStr">
        <is>
          <t>The World Wide Fund for Nature (WWF) is an international _____ dedicated to wildlife protection.</t>
        </is>
      </c>
      <c r="G16" s="6" t="inlineStr">
        <is>
          <t>Đã thuộc</t>
        </is>
      </c>
      <c r="H16" s="5" t="inlineStr">
        <is>
          <t>Viết tắt là NPO hoặc NGO</t>
        </is>
      </c>
    </row>
    <row r="17" ht="36" customHeight="1">
      <c r="A17" s="11" t="n">
        <v>13</v>
      </c>
      <c r="B17" s="7" t="inlineStr">
        <is>
          <t>Unit 5: Inventions</t>
        </is>
      </c>
      <c r="C17" s="8" t="inlineStr">
        <is>
          <t>artificial intelligence</t>
        </is>
      </c>
      <c r="D17" s="9" t="inlineStr">
        <is>
          <t>noun phrase | /ˌɑː.tɪˈfɪʃ.əl ɪnˈtel.ɪ.dʒəns/</t>
        </is>
      </c>
      <c r="E17" s="10" t="inlineStr">
        <is>
          <t>Trí tuệ nhân tạo</t>
        </is>
      </c>
      <c r="F17" s="10" t="inlineStr">
        <is>
          <t>The rapid development of _____ is transforming diagnostics in healthcare and personalized learning.</t>
        </is>
      </c>
      <c r="G17" s="11" t="inlineStr">
        <is>
          <t>Đã thuộc</t>
        </is>
      </c>
      <c r="H17" s="10" t="inlineStr">
        <is>
          <t>Viết tắt là AI</t>
        </is>
      </c>
    </row>
    <row r="18" ht="36" customHeight="1">
      <c r="A18" s="6" t="n">
        <v>14</v>
      </c>
      <c r="B18" s="2" t="inlineStr">
        <is>
          <t>Unit 5: Inventions</t>
        </is>
      </c>
      <c r="C18" s="3" t="inlineStr">
        <is>
          <t>versatile</t>
        </is>
      </c>
      <c r="D18" s="4" t="inlineStr">
        <is>
          <t>adj | /ˈvɜː.sə.taɪl/</t>
        </is>
      </c>
      <c r="E18" s="5" t="inlineStr">
        <is>
          <t>Đa năng, linh hoạt</t>
        </is>
      </c>
      <c r="F18" s="5" t="inlineStr">
        <is>
          <t>Smartphones are incredibly _____ devices that function as cameras, computers, and navigators.</t>
        </is>
      </c>
      <c r="G18" s="6" t="inlineStr">
        <is>
          <t>Đang học</t>
        </is>
      </c>
      <c r="H18" s="5" t="inlineStr">
        <is>
          <t>Danh từ là versatility</t>
        </is>
      </c>
    </row>
    <row r="19" ht="36" customHeight="1">
      <c r="A19" s="11" t="n">
        <v>15</v>
      </c>
      <c r="B19" s="7" t="inlineStr">
        <is>
          <t>Unit 5: Inventions</t>
        </is>
      </c>
      <c r="C19" s="8" t="inlineStr">
        <is>
          <t>revolutionize</t>
        </is>
      </c>
      <c r="D19" s="9" t="inlineStr">
        <is>
          <t>verb | /ˌrev.əˈluː.ʃən.aɪz/</t>
        </is>
      </c>
      <c r="E19" s="10" t="inlineStr">
        <is>
          <t>Cách mạng hóa</t>
        </is>
      </c>
      <c r="F19" s="10" t="inlineStr">
        <is>
          <t>The discovery of antibiotics and vaccines completely _____ modern medicine and saved millions of lives.</t>
        </is>
      </c>
      <c r="G19" s="11" t="inlineStr">
        <is>
          <t>Đang học</t>
        </is>
      </c>
      <c r="H19" s="10" t="inlineStr">
        <is>
          <t>Gốc từ revolution -&gt; revolutionize</t>
        </is>
      </c>
    </row>
    <row r="20" ht="36" customHeight="1">
      <c r="A20" s="6" t="n">
        <v>16</v>
      </c>
      <c r="B20" s="2" t="inlineStr">
        <is>
          <t>Unit 6: Gender Equality</t>
        </is>
      </c>
      <c r="C20" s="3" t="inlineStr">
        <is>
          <t>gender discrimination</t>
        </is>
      </c>
      <c r="D20" s="4" t="inlineStr">
        <is>
          <t>noun phrase | /ˈdʒen.dər dɪˌskrɪm.ɪˈneɪ.ʃən/</t>
        </is>
      </c>
      <c r="E20" s="5" t="inlineStr">
        <is>
          <t>Phân biệt đối xử giới</t>
        </is>
      </c>
      <c r="F20" s="5" t="inlineStr">
        <is>
          <t>Strict international conventions have been signed to eliminate all forms of _____ against women.</t>
        </is>
      </c>
      <c r="G20" s="6" t="inlineStr">
        <is>
          <t>Đã thuộc</t>
        </is>
      </c>
      <c r="H20" s="5" t="inlineStr">
        <is>
          <t>Cụm eliminate / prohibit gender discrimination</t>
        </is>
      </c>
    </row>
    <row r="21" ht="36" customHeight="1">
      <c r="A21" s="11" t="n">
        <v>17</v>
      </c>
      <c r="B21" s="7" t="inlineStr">
        <is>
          <t>Unit 6: Gender Equality</t>
        </is>
      </c>
      <c r="C21" s="8" t="inlineStr">
        <is>
          <t>empower</t>
        </is>
      </c>
      <c r="D21" s="9" t="inlineStr">
        <is>
          <t>verb | /ɪmˈpaʊ.ər/</t>
        </is>
      </c>
      <c r="E21" s="10" t="inlineStr">
        <is>
          <t>Trao quyền, trao cơ hội</t>
        </is>
      </c>
      <c r="F21" s="10" t="inlineStr">
        <is>
          <t>Providing quality education to rural girls helps _____ them to become future community leaders.</t>
        </is>
      </c>
      <c r="G21" s="11" t="inlineStr">
        <is>
          <t>Đã thuộc</t>
        </is>
      </c>
      <c r="H21" s="10" t="inlineStr">
        <is>
          <t>Danh từ là empowerment</t>
        </is>
      </c>
    </row>
    <row r="22" ht="36" customHeight="1">
      <c r="A22" s="6" t="n">
        <v>18</v>
      </c>
      <c r="B22" s="2" t="inlineStr">
        <is>
          <t>Unit 6: Gender Equality</t>
        </is>
      </c>
      <c r="C22" s="3" t="inlineStr">
        <is>
          <t>stereotype</t>
        </is>
      </c>
      <c r="D22" s="4" t="inlineStr">
        <is>
          <t>noun/verb | /ˈster.i.ə.taɪp/</t>
        </is>
      </c>
      <c r="E22" s="5" t="inlineStr">
        <is>
          <t>Định kiến, khuôn mẫu</t>
        </is>
      </c>
      <c r="F22" s="5" t="inlineStr">
        <is>
          <t>We must work together to shatter the outdated _____ that men should not express their emotions.</t>
        </is>
      </c>
      <c r="G22" s="6" t="inlineStr">
        <is>
          <t>Đang học</t>
        </is>
      </c>
      <c r="H22" s="5" t="inlineStr">
        <is>
          <t>Cụm break / shatter gender stereotypes</t>
        </is>
      </c>
    </row>
    <row r="23" ht="36" customHeight="1">
      <c r="A23" s="11" t="n">
        <v>19</v>
      </c>
      <c r="B23" s="7" t="inlineStr">
        <is>
          <t>Unit 7: VN &amp; International Orgs</t>
        </is>
      </c>
      <c r="C23" s="8" t="inlineStr">
        <is>
          <t>peacekeeping</t>
        </is>
      </c>
      <c r="D23" s="9" t="inlineStr">
        <is>
          <t>noun/adj | /ˈpiːsˌkiː.pɪŋ/</t>
        </is>
      </c>
      <c r="E23" s="10" t="inlineStr">
        <is>
          <t>Gìn giữ hòa bình</t>
        </is>
      </c>
      <c r="F23" s="10" t="inlineStr">
        <is>
          <t>Vietnamese military officers have actively participated in UN _____ missions in Africa.</t>
        </is>
      </c>
      <c r="G23" s="11" t="inlineStr">
        <is>
          <t>Đã thuộc</t>
        </is>
      </c>
      <c r="H23" s="10" t="inlineStr">
        <is>
          <t>UN Peacekeeping Force</t>
        </is>
      </c>
    </row>
    <row r="24" ht="36" customHeight="1">
      <c r="A24" s="6" t="n">
        <v>20</v>
      </c>
      <c r="B24" s="2" t="inlineStr">
        <is>
          <t>Unit 7: VN &amp; International Orgs</t>
        </is>
      </c>
      <c r="C24" s="3" t="inlineStr">
        <is>
          <t>integrate</t>
        </is>
      </c>
      <c r="D24" s="4" t="inlineStr">
        <is>
          <t>verb | /ˈɪn.tɪ.ɡreɪt/</t>
        </is>
      </c>
      <c r="E24" s="5" t="inlineStr">
        <is>
          <t>Hội nhập quốc tế</t>
        </is>
      </c>
      <c r="F24" s="5" t="inlineStr">
        <is>
          <t>Vietnam continues to _____ deeply into the regional and global economy through trade treaties.</t>
        </is>
      </c>
      <c r="G24" s="6" t="inlineStr">
        <is>
          <t>Đã thuộc</t>
        </is>
      </c>
      <c r="H24" s="5" t="inlineStr">
        <is>
          <t>Danh từ là international integration</t>
        </is>
      </c>
    </row>
    <row r="25" ht="36" customHeight="1">
      <c r="A25" s="11" t="n">
        <v>21</v>
      </c>
      <c r="B25" s="7" t="inlineStr">
        <is>
          <t>Unit 7: VN &amp; International Orgs</t>
        </is>
      </c>
      <c r="C25" s="8" t="inlineStr">
        <is>
          <t>bilateral</t>
        </is>
      </c>
      <c r="D25" s="9" t="inlineStr">
        <is>
          <t>adj | /baɪˈlæt.ər.əl/</t>
        </is>
      </c>
      <c r="E25" s="10" t="inlineStr">
        <is>
          <t>Song phương (giữa 2 bên)</t>
        </is>
      </c>
      <c r="F25" s="10" t="inlineStr">
        <is>
          <t>Vietnam and Japan signed a _____ economic partnership agreement to lower import tariffs.</t>
        </is>
      </c>
      <c r="G25" s="11" t="inlineStr">
        <is>
          <t>Cần ôn lại</t>
        </is>
      </c>
      <c r="H25" s="10" t="inlineStr">
        <is>
          <t>Phân biệt bilateral (song phương) &amp; multilateral (đa phương)</t>
        </is>
      </c>
    </row>
    <row r="26" ht="36" customHeight="1">
      <c r="A26" s="6" t="n">
        <v>22</v>
      </c>
      <c r="B26" s="2" t="inlineStr">
        <is>
          <t>Unit 8: New Ways to Learn</t>
        </is>
      </c>
      <c r="C26" s="3" t="inlineStr">
        <is>
          <t>blended learning</t>
        </is>
      </c>
      <c r="D26" s="4" t="inlineStr">
        <is>
          <t>noun phrase | /ˌblen.dɪd ˈlɜː.nɪŋ/</t>
        </is>
      </c>
      <c r="E26" s="5" t="inlineStr">
        <is>
          <t>Học tập kết hợp</t>
        </is>
      </c>
      <c r="F26" s="5" t="inlineStr">
        <is>
          <t>Many high schools have adopted _____ models where students attend physical lectures and do digital tasks.</t>
        </is>
      </c>
      <c r="G26" s="6" t="inlineStr">
        <is>
          <t>Đã thuộc</t>
        </is>
      </c>
      <c r="H26" s="5" t="inlineStr">
        <is>
          <t>Kết hợp online và offline</t>
        </is>
      </c>
    </row>
    <row r="27" ht="36" customHeight="1">
      <c r="A27" s="11" t="n">
        <v>23</v>
      </c>
      <c r="B27" s="7" t="inlineStr">
        <is>
          <t>Unit 8: New Ways to Learn</t>
        </is>
      </c>
      <c r="C27" s="8" t="inlineStr">
        <is>
          <t>interactive</t>
        </is>
      </c>
      <c r="D27" s="9" t="inlineStr">
        <is>
          <t>adj | /ˌɪn.təˈræk.tɪv/</t>
        </is>
      </c>
      <c r="E27" s="10" t="inlineStr">
        <is>
          <t>Có tính tương tác cao</t>
        </is>
      </c>
      <c r="F27" s="10" t="inlineStr">
        <is>
          <t>Smart classrooms are equipped with _____ touchscreens that make English grammar lessons engaging.</t>
        </is>
      </c>
      <c r="G27" s="11" t="inlineStr">
        <is>
          <t>Đã thuộc</t>
        </is>
      </c>
      <c r="H27" s="10" t="inlineStr">
        <is>
          <t>Động từ interact with sb</t>
        </is>
      </c>
    </row>
    <row r="28" ht="36" customHeight="1">
      <c r="A28" s="6" t="n">
        <v>24</v>
      </c>
      <c r="B28" s="2" t="inlineStr">
        <is>
          <t>Unit 9: Protecting Environment</t>
        </is>
      </c>
      <c r="C28" s="3" t="inlineStr">
        <is>
          <t>endangered species</t>
        </is>
      </c>
      <c r="D28" s="4" t="inlineStr">
        <is>
          <t>noun phrase | /ɪnˌdeɪn.dʒəd ˈspiː.ʃiːz/</t>
        </is>
      </c>
      <c r="E28" s="5" t="inlineStr">
        <is>
          <t>Loài có nguy cơ tuyệt chủng</t>
        </is>
      </c>
      <c r="F28" s="5" t="inlineStr">
        <is>
          <t>The saola and the Indochinese tiger are critically _____ that require urgent protection programs.</t>
        </is>
      </c>
      <c r="G28" s="6" t="inlineStr">
        <is>
          <t>Đã thuộc</t>
        </is>
      </c>
      <c r="H28" s="5" t="inlineStr">
        <is>
          <t>Species số ít và số nhiều giống nhau</t>
        </is>
      </c>
    </row>
    <row r="29" ht="36" customHeight="1">
      <c r="A29" s="11" t="n">
        <v>25</v>
      </c>
      <c r="B29" s="7" t="inlineStr">
        <is>
          <t>Unit 10: Ecotourism</t>
        </is>
      </c>
      <c r="C29" s="8" t="inlineStr">
        <is>
          <t>ecotourism</t>
        </is>
      </c>
      <c r="D29" s="9" t="inlineStr">
        <is>
          <t>noun | /ˈiː.kəʊˌtʊə.rɪ.zəm/</t>
        </is>
      </c>
      <c r="E29" s="10" t="inlineStr">
        <is>
          <t>Du lịch sinh thái</t>
        </is>
      </c>
      <c r="F29" s="10" t="inlineStr">
        <is>
          <t>Developing sustainable _____ in national parks creates jobs for locals while protecting pristine forests.</t>
        </is>
      </c>
      <c r="G29" s="11" t="inlineStr">
        <is>
          <t>Đã thuộc</t>
        </is>
      </c>
      <c r="H29" s="10" t="inlineStr">
        <is>
          <t>Ecology + tourism</t>
        </is>
      </c>
    </row>
  </sheetData>
  <autoFilter ref="A4:H29"/>
  <mergeCells count="2">
    <mergeCell ref="A2:H2"/>
    <mergeCell ref="A1:H1"/>
  </mergeCells>
  <conditionalFormatting sqref="G5:G29">
    <cfRule type="cellIs" priority="1" operator="equal" dxfId="0">
      <formula>"Đã thuộc"</formula>
    </cfRule>
    <cfRule type="cellIs" priority="2" operator="equal" dxfId="1">
      <formula>"Đang học"</formula>
    </cfRule>
    <cfRule type="cellIs" priority="3" operator="equal" dxfId="2">
      <formula>"Cần ôn lại"</formula>
    </cfRule>
  </conditionalFormatting>
  <dataValidations count="1">
    <dataValidation sqref="G5:G29" showDropDown="0" showInputMessage="0" showErrorMessage="0" allowBlank="1" type="list">
      <formula1>"Đã thuộc,Đang học,Cần ôn lại"</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2026-08-18T08:39:15Z</dcterms:created>
  <dcterms:modified xmlns:dcterms="http://purl.org/dc/terms/" xmlns:xsi="http://www.w3.org/2001/XMLSchema-instance" xsi:type="dcterms:W3CDTF">2026-08-18T08:39:31Z</dcterms:modified>
</cp:coreProperties>
</file>