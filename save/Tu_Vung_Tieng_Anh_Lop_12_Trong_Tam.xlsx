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ừ Vựng Tiếng Anh Lớp 12" sheetId="1" state="visible" r:id="rId1"/>
    <sheet xmlns:r="http://schemas.openxmlformats.org/officeDocument/2006/relationships" name="Tổng Quan &amp; Thống Kê" sheetId="2" state="visible" r:id="rId2"/>
    <sheet xmlns:r="http://schemas.openxmlformats.org/officeDocument/2006/relationships" name="Flashcard &amp; Luyện Tập" sheetId="3" state="visible" r:id="rId3"/>
  </sheets>
  <definedNames>
    <definedName name="_xlnm._FilterDatabase" localSheetId="0" hidden="1">'Từ Vựng Tiếng Anh Lớp 12'!$A$1:$K$61</definedName>
    <definedName name="_xlnm._FilterDatabase" localSheetId="2" hidden="1">'Flashcard &amp; Luyện Tập'!$A$4:$H$29</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1"/>
    </font>
    <font>
      <name val="Segoe UI"/>
      <color rgb="000F172A"/>
      <sz val="10"/>
    </font>
    <font>
      <name val="Segoe UI"/>
      <b val="1"/>
      <color rgb="000F172A"/>
      <sz val="10"/>
    </font>
    <font>
      <name val="Segoe UI"/>
      <i val="1"/>
      <color rgb="00475569"/>
      <sz val="10"/>
    </font>
    <font>
      <name val="Segoe UI"/>
      <b val="1"/>
      <color rgb="00881337"/>
      <sz val="16"/>
    </font>
    <font>
      <name val="Segoe UI"/>
      <b val="1"/>
      <color rgb="00475569"/>
      <sz val="9"/>
    </font>
    <font>
      <name val="Segoe UI"/>
      <b val="1"/>
      <color rgb="00881337"/>
      <sz val="18"/>
    </font>
    <font>
      <name val="Segoe UI"/>
      <b val="1"/>
      <color rgb="00881337"/>
      <sz val="12"/>
    </font>
  </fonts>
  <fills count="6">
    <fill>
      <patternFill/>
    </fill>
    <fill>
      <patternFill patternType="gray125"/>
    </fill>
    <fill>
      <patternFill patternType="solid">
        <fgColor rgb="00881337"/>
        <bgColor rgb="00881337"/>
      </patternFill>
    </fill>
    <fill>
      <patternFill patternType="solid">
        <fgColor rgb="00F8FAFC"/>
        <bgColor rgb="00F8FAFC"/>
      </patternFill>
    </fill>
    <fill>
      <patternFill patternType="solid">
        <fgColor rgb="00FFFFFF"/>
        <bgColor rgb="00FFFFFF"/>
      </patternFill>
    </fill>
    <fill>
      <patternFill patternType="solid">
        <fgColor rgb="00FFF1F2"/>
        <bgColor rgb="00FFF1F2"/>
      </patternFill>
    </fill>
  </fills>
  <borders count="3">
    <border>
      <left/>
      <right/>
      <top/>
      <bottom/>
      <diagonal/>
    </border>
    <border>
      <left style="thin">
        <color rgb="00CBD5E1"/>
      </left>
      <right style="thin">
        <color rgb="00CBD5E1"/>
      </right>
      <top style="thin">
        <color rgb="00CBD5E1"/>
      </top>
      <bottom style="medium">
        <color rgb="004C0519"/>
      </bottom>
    </border>
    <border>
      <left style="thin">
        <color rgb="00CBD5E1"/>
      </left>
      <right style="thin">
        <color rgb="00CBD5E1"/>
      </right>
      <top style="thin">
        <color rgb="00CBD5E1"/>
      </top>
      <bottom style="thin">
        <color rgb="00CBD5E1"/>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4"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3"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2"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5" fillId="0" borderId="0" applyAlignment="1" pivotButton="0" quotePrefix="0" xfId="0">
      <alignment horizontal="left" vertical="center"/>
    </xf>
    <xf numFmtId="0" fontId="4" fillId="0" borderId="0" applyAlignment="1" pivotButton="0" quotePrefix="0" xfId="0">
      <alignment horizontal="left" vertical="center"/>
    </xf>
    <xf numFmtId="0" fontId="6" fillId="3" borderId="2" applyAlignment="1" pivotButton="0" quotePrefix="0" xfId="0">
      <alignment horizontal="center" vertical="center" wrapText="1"/>
    </xf>
    <xf numFmtId="0" fontId="0" fillId="0" borderId="2" pivotButton="0" quotePrefix="0" xfId="0"/>
    <xf numFmtId="0" fontId="7" fillId="3" borderId="2" applyAlignment="1" pivotButton="0" quotePrefix="0" xfId="0">
      <alignment horizontal="center" vertical="center" wrapText="1"/>
    </xf>
    <xf numFmtId="0" fontId="8" fillId="0" borderId="0" pivotButton="0" quotePrefix="0" xfId="0"/>
    <xf numFmtId="164" fontId="2" fillId="3" borderId="2" applyAlignment="1" pivotButton="0" quotePrefix="0" xfId="0">
      <alignment horizontal="right" vertical="center" wrapText="1"/>
    </xf>
    <xf numFmtId="164" fontId="2" fillId="4" borderId="2" applyAlignment="1" pivotButton="0" quotePrefix="0" xfId="0">
      <alignment horizontal="right" vertical="center" wrapText="1"/>
    </xf>
    <xf numFmtId="0" fontId="3" fillId="5" borderId="1" applyAlignment="1" pivotButton="0" quotePrefix="0" xfId="0">
      <alignment horizontal="center" vertical="center" wrapText="1"/>
    </xf>
    <xf numFmtId="164" fontId="3" fillId="5" borderId="1" applyAlignment="1" pivotButton="0" quotePrefix="0" xfId="0">
      <alignment horizontal="right" vertical="center" wrapText="1"/>
    </xf>
    <xf numFmtId="0" fontId="3" fillId="5" borderId="1" applyAlignment="1" pivotButton="0" quotePrefix="0" xfId="0">
      <alignment horizontal="left" vertical="center" wrapText="1"/>
    </xf>
    <xf numFmtId="0" fontId="3" fillId="5" borderId="0" pivotButton="0" quotePrefix="0" xfId="0"/>
    <xf numFmtId="0" fontId="2" fillId="0" borderId="0" applyAlignment="1" pivotButton="0" quotePrefix="0" xfId="0">
      <alignment horizontal="left" vertical="center" wrapText="1"/>
    </xf>
  </cellXfs>
  <cellStyles count="1">
    <cellStyle name="Normal" xfId="0" builtinId="0" hidden="0"/>
  </cellStyles>
  <dxfs count="3">
    <dxf>
      <font>
        <name val="Segoe UI"/>
        <b val="1"/>
        <color rgb="0015803D"/>
        <sz val="10"/>
      </font>
      <fill>
        <patternFill patternType="solid">
          <fgColor rgb="00DCFCE7"/>
          <bgColor rgb="00DCFCE7"/>
        </patternFill>
      </fill>
    </dxf>
    <dxf>
      <font>
        <name val="Segoe UI"/>
        <b val="1"/>
        <color rgb="00A16207"/>
        <sz val="10"/>
      </font>
      <fill>
        <patternFill patternType="solid">
          <fgColor rgb="00FEF9C3"/>
          <bgColor rgb="00FEF9C3"/>
        </patternFill>
      </fill>
    </dxf>
    <dxf>
      <font>
        <name val="Segoe UI"/>
        <b val="1"/>
        <color rgb="00B91C1C"/>
        <sz val="10"/>
      </font>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Số Lượng Từ Vựng Theo Từng Unit Lớp 12</a:t>
            </a:r>
          </a:p>
        </rich>
      </tx>
    </title>
    <plotArea>
      <barChart>
        <barDir val="col"/>
        <grouping val="clustered"/>
        <ser>
          <idx val="0"/>
          <order val="0"/>
          <tx>
            <strRef>
              <f>'Tổng Quan &amp; Thống Kê'!B9</f>
            </strRef>
          </tx>
          <spPr>
            <a:ln xmlns:a="http://schemas.openxmlformats.org/drawingml/2006/main">
              <a:prstDash val="solid"/>
            </a:ln>
          </spPr>
          <cat>
            <numRef>
              <f>'Tổng Quan &amp; Thống Kê'!$A$10:$A$19</f>
            </numRef>
          </cat>
          <val>
            <numRef>
              <f>'Tổng Quan &amp; Thống Kê'!$B$10:$B$19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Chủ đề</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lượng từ</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Tỷ Lệ Phân Bố Cấp Độ CEFR Lớp 12 (B1 - B2 - C1)</a:t>
            </a:r>
          </a:p>
        </rich>
      </tx>
    </title>
    <plotArea>
      <pieChart>
        <varyColors val="1"/>
        <ser>
          <idx val="0"/>
          <order val="0"/>
          <tx>
            <strRef>
              <f>'Tổng Quan &amp; Thống Kê'!G9</f>
            </strRef>
          </tx>
          <spPr>
            <a:ln xmlns:a="http://schemas.openxmlformats.org/drawingml/2006/main">
              <a:prstDash val="solid"/>
            </a:ln>
          </spPr>
          <cat>
            <numRef>
              <f>'Tổng Quan &amp; Thống Kê'!$F$10:$F$12</f>
            </numRef>
          </cat>
          <val>
            <numRef>
              <f>'Tổng Quan &amp; Thống Kê'!$G$10:$G$12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21</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14</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8" customWidth="1" min="3" max="3"/>
    <col width="22" customWidth="1" min="4" max="4"/>
    <col width="38" customWidth="1" min="5" max="5"/>
    <col width="10" customWidth="1" min="6" max="6"/>
    <col width="50" customWidth="1" min="7" max="7"/>
    <col width="32" customWidth="1" min="8" max="8"/>
    <col width="28" customWidth="1" min="9" max="9"/>
    <col width="40" customWidth="1" min="10" max="10"/>
    <col width="42" customWidth="1" min="11" max="11"/>
  </cols>
  <sheetData>
    <row r="1" ht="28" customHeight="1">
      <c r="A1" s="1" t="inlineStr">
        <is>
          <t>Topic</t>
        </is>
      </c>
      <c r="B1" s="1" t="inlineStr">
        <is>
          <t>Term</t>
        </is>
      </c>
      <c r="C1" s="1" t="inlineStr">
        <is>
          <t>PartOfSpeech</t>
        </is>
      </c>
      <c r="D1" s="1" t="inlineStr">
        <is>
          <t>Phonetic</t>
        </is>
      </c>
      <c r="E1" s="1" t="inlineStr">
        <is>
          <t>Definition</t>
        </is>
      </c>
      <c r="F1" s="1" t="inlineStr">
        <is>
          <t>CEFR</t>
        </is>
      </c>
      <c r="G1" s="1" t="inlineStr">
        <is>
          <t>Example</t>
        </is>
      </c>
      <c r="H1" s="1" t="inlineStr">
        <is>
          <t>Synonyms</t>
        </is>
      </c>
      <c r="I1" s="1" t="inlineStr">
        <is>
          <t>Antonyms</t>
        </is>
      </c>
      <c r="J1" s="1" t="inlineStr">
        <is>
          <t>Collocations</t>
        </is>
      </c>
      <c r="K1" s="1" t="inlineStr">
        <is>
          <t>Note</t>
        </is>
      </c>
    </row>
    <row r="2" ht="42" customHeight="1">
      <c r="A2" s="2" t="inlineStr">
        <is>
          <t>Unit 1: Life Stories</t>
        </is>
      </c>
      <c r="B2" s="3" t="inlineStr">
        <is>
          <t>perseverance</t>
        </is>
      </c>
      <c r="C2" s="4" t="inlineStr">
        <is>
          <t>noun</t>
        </is>
      </c>
      <c r="D2" s="2" t="inlineStr">
        <is>
          <t>/ˌpɜː.sɪˈvɪə.rəns/</t>
        </is>
      </c>
      <c r="E2" s="5" t="inlineStr">
        <is>
          <t>Sự kiên trì, bền bỉ vượt qua muôn vàn gian nan thử thách</t>
        </is>
      </c>
      <c r="F2" s="6" t="inlineStr">
        <is>
          <t>B2</t>
        </is>
      </c>
      <c r="G2" s="5" t="inlineStr">
        <is>
          <t>Through extraordinary perseverance and dedication, Marie Curie made historic breakthroughs in radioactivity.</t>
        </is>
      </c>
      <c r="H2" s="5" t="inlineStr">
        <is>
          <t>persistence, tenacity, endurance, determination</t>
        </is>
      </c>
      <c r="I2" s="5" t="inlineStr">
        <is>
          <t>giving up, surrender, apathy</t>
        </is>
      </c>
      <c r="J2" s="5" t="inlineStr">
        <is>
          <t>show perseverance, through sheer perseverance, perseverance in the face of obstacles</t>
        </is>
      </c>
      <c r="K2" s="5" t="inlineStr">
        <is>
          <t>Động từ là 'persevere' /ˌpɜː.sɪˈvɪər/ (persevere in/with something).</t>
        </is>
      </c>
    </row>
    <row r="3" ht="42" customHeight="1">
      <c r="A3" s="7" t="inlineStr">
        <is>
          <t>Unit 1: Life Stories</t>
        </is>
      </c>
      <c r="B3" s="8" t="inlineStr">
        <is>
          <t>distinguished</t>
        </is>
      </c>
      <c r="C3" s="9" t="inlineStr">
        <is>
          <t>adjective</t>
        </is>
      </c>
      <c r="D3" s="7" t="inlineStr">
        <is>
          <t>/dɪˈstɪŋ.ɡwɪʃt/</t>
        </is>
      </c>
      <c r="E3" s="10" t="inlineStr">
        <is>
          <t>Kiệt xuất, lỗi lạc, được kính trọng bởi sự nghiệp vĩ đại</t>
        </is>
      </c>
      <c r="F3" s="11" t="inlineStr">
        <is>
          <t>B2</t>
        </is>
      </c>
      <c r="G3" s="10" t="inlineStr">
        <is>
          <t>General Vo Nguyen Giap was a distinguished military strategist admired across the globe.</t>
        </is>
      </c>
      <c r="H3" s="10" t="inlineStr">
        <is>
          <t>eminent, illustrious, celebrated, renowned</t>
        </is>
      </c>
      <c r="I3" s="10" t="inlineStr">
        <is>
          <t>unknown, obscure, ordinary, undistinguished</t>
        </is>
      </c>
      <c r="J3" s="10" t="inlineStr">
        <is>
          <t>distinguished career, distinguished scholar, distinguished guest, highly distinguished</t>
        </is>
      </c>
      <c r="K3" s="10" t="inlineStr">
        <is>
          <t>Phân biệt: 'distinguished' (lỗi lạc) và 'distinguishable' (có thể phân biệt được).</t>
        </is>
      </c>
    </row>
    <row r="4" ht="42" customHeight="1">
      <c r="A4" s="2" t="inlineStr">
        <is>
          <t>Unit 1: Life Stories</t>
        </is>
      </c>
      <c r="B4" s="3" t="inlineStr">
        <is>
          <t>philanthropist</t>
        </is>
      </c>
      <c r="C4" s="4" t="inlineStr">
        <is>
          <t>noun</t>
        </is>
      </c>
      <c r="D4" s="2" t="inlineStr">
        <is>
          <t>/fɪˈlæn.θrə.pɪst/</t>
        </is>
      </c>
      <c r="E4" s="5" t="inlineStr">
        <is>
          <t>Nhà từ thiện, người giàu lòng nhân ái hiến tặng tài sản giúp đời</t>
        </is>
      </c>
      <c r="F4" s="6" t="inlineStr">
        <is>
          <t>C1</t>
        </is>
      </c>
      <c r="G4" s="5" t="inlineStr">
        <is>
          <t>The tech billionaire became a full-time philanthropist dedicated to eradicating infectious diseases.</t>
        </is>
      </c>
      <c r="H4" s="5" t="inlineStr">
        <is>
          <t>benefactor, humanitarian, patron, donor</t>
        </is>
      </c>
      <c r="I4" s="5" t="inlineStr">
        <is>
          <t>miser, misanthrope</t>
        </is>
      </c>
      <c r="J4" s="5" t="inlineStr">
        <is>
          <t>generous philanthropist, billionaire philanthropist, noted philanthropist</t>
        </is>
      </c>
      <c r="K4" s="5" t="inlineStr">
        <is>
          <t>Danh từ trừu tượng: 'philanthropy' (hoạt động nhân đạo từ thiện). Trọng âm 2.</t>
        </is>
      </c>
    </row>
    <row r="5" ht="42" customHeight="1">
      <c r="A5" s="7" t="inlineStr">
        <is>
          <t>Unit 1: Life Stories</t>
        </is>
      </c>
      <c r="B5" s="8" t="inlineStr">
        <is>
          <t>legacy</t>
        </is>
      </c>
      <c r="C5" s="9" t="inlineStr">
        <is>
          <t>noun</t>
        </is>
      </c>
      <c r="D5" s="7" t="inlineStr">
        <is>
          <t>/ˈleɡ.ə.si/</t>
        </is>
      </c>
      <c r="E5" s="10" t="inlineStr">
        <is>
          <t>Di sản tinh thần hoặc vật chất để lại cho thế hệ sau</t>
        </is>
      </c>
      <c r="F5" s="11" t="inlineStr">
        <is>
          <t>B2</t>
        </is>
      </c>
      <c r="G5" s="10" t="inlineStr">
        <is>
          <t>President Ho Chi Minh left an enduring legacy of patriotism and moral integrity for the nation.</t>
        </is>
      </c>
      <c r="H5" s="10" t="inlineStr">
        <is>
          <t>heritage, bequest, inheritance, endowment</t>
        </is>
      </c>
      <c r="I5" s="10" t="inlineStr">
        <is>
          <t>N/A</t>
        </is>
      </c>
      <c r="J5" s="10" t="inlineStr">
        <is>
          <t>leave a legacy, enduring legacy, lasting legacy, rich legacy</t>
        </is>
      </c>
      <c r="K5" s="10" t="inlineStr">
        <is>
          <t>Số nhiều: legacies. Thành ngữ: 'legacy of something'.</t>
        </is>
      </c>
    </row>
    <row r="6" ht="42" customHeight="1">
      <c r="A6" s="2" t="inlineStr">
        <is>
          <t>Unit 1: Life Stories</t>
        </is>
      </c>
      <c r="B6" s="3" t="inlineStr">
        <is>
          <t>overcome adversity</t>
        </is>
      </c>
      <c r="C6" s="4" t="inlineStr">
        <is>
          <t>verb phrase</t>
        </is>
      </c>
      <c r="D6" s="2" t="inlineStr">
        <is>
          <t>/ˌəʊ.vəˈkʌm ədˈvɜː.sə.ti/</t>
        </is>
      </c>
      <c r="E6" s="5" t="inlineStr">
        <is>
          <t>Vượt qua nghịch cảnh, chiến thắng những hoàn cảnh ngặt nghèo nhất</t>
        </is>
      </c>
      <c r="F6" s="6" t="inlineStr">
        <is>
          <t>C1</t>
        </is>
      </c>
      <c r="G6" s="5" t="inlineStr">
        <is>
          <t>Nick Vujicic inspired millions by demonstrating how courage helps individuals overcome adversity.</t>
        </is>
      </c>
      <c r="H6" s="5" t="inlineStr">
        <is>
          <t>triumph over hardship, conquer difficulties</t>
        </is>
      </c>
      <c r="I6" s="5" t="inlineStr">
        <is>
          <t>succumb to hardship, yield to despair</t>
        </is>
      </c>
      <c r="J6" s="5" t="inlineStr">
        <is>
          <t>courage to overcome adversity, overcome severe adversity, resilience in adversity</t>
        </is>
      </c>
      <c r="K6" s="5" t="inlineStr">
        <is>
          <t>'Adversity' (nghịch cảnh) khác với 'adversary' (kẻ thù/đối thủ).</t>
        </is>
      </c>
    </row>
    <row r="7" ht="42" customHeight="1">
      <c r="A7" s="7" t="inlineStr">
        <is>
          <t>Unit 1: Life Stories</t>
        </is>
      </c>
      <c r="B7" s="8" t="inlineStr">
        <is>
          <t>prestigious</t>
        </is>
      </c>
      <c r="C7" s="9" t="inlineStr">
        <is>
          <t>adjective</t>
        </is>
      </c>
      <c r="D7" s="7" t="inlineStr">
        <is>
          <t>/presˈtɪdʒ.əs/</t>
        </is>
      </c>
      <c r="E7" s="10" t="inlineStr">
        <is>
          <t>Danh giá, có uy tín và thanh thế lẫy lừng</t>
        </is>
      </c>
      <c r="F7" s="11" t="inlineStr">
        <is>
          <t>B2</t>
        </is>
      </c>
      <c r="G7" s="10" t="inlineStr">
        <is>
          <t>Professor Ngo Bao Chau was awarded the prestigious Fields Medal in mathematics in 2010.</t>
        </is>
      </c>
      <c r="H7" s="10" t="inlineStr">
        <is>
          <t>reputable, esteemed, distinguished, high-status</t>
        </is>
      </c>
      <c r="I7" s="10" t="inlineStr">
        <is>
          <t>disreputable, obscure, insignificant</t>
        </is>
      </c>
      <c r="J7" s="10" t="inlineStr">
        <is>
          <t>prestigious award, prestigious university, prestigious scholarship</t>
        </is>
      </c>
      <c r="K7" s="10" t="inlineStr">
        <is>
          <t>Danh từ là 'prestige' /presˈtiːʒ/ (uy tín, thanh thế). Trọng âm 2.</t>
        </is>
      </c>
    </row>
    <row r="8" ht="42" customHeight="1">
      <c r="A8" s="2" t="inlineStr">
        <is>
          <t>Unit 2: A Multicultural World</t>
        </is>
      </c>
      <c r="B8" s="3" t="inlineStr">
        <is>
          <t>cultural assimilation</t>
        </is>
      </c>
      <c r="C8" s="4" t="inlineStr">
        <is>
          <t>noun phrase</t>
        </is>
      </c>
      <c r="D8" s="2" t="inlineStr">
        <is>
          <t>/ˌkʌl.tʃər.əl əˌsɪm.ɪˈleɪ.ʃən/</t>
        </is>
      </c>
      <c r="E8" s="5" t="inlineStr">
        <is>
          <t>Sự đồng hóa văn hóa (quá trình tiếp thu hoàn toàn văn hóa của cộng đồng đa số)</t>
        </is>
      </c>
      <c r="F8" s="6" t="inlineStr">
        <is>
          <t>C1</t>
        </is>
      </c>
      <c r="G8" s="5" t="inlineStr">
        <is>
          <t>Immigrants often experience pressure toward cultural assimilation while trying to maintain their mother tongue.</t>
        </is>
      </c>
      <c r="H8" s="5" t="inlineStr">
        <is>
          <t>cultural absorption, cultural integration</t>
        </is>
      </c>
      <c r="I8" s="5" t="inlineStr">
        <is>
          <t>cultural preservation, cultural segregation</t>
        </is>
      </c>
      <c r="J8" s="5" t="inlineStr">
        <is>
          <t>force cultural assimilation, process of cultural assimilation, rapid assimilation</t>
        </is>
      </c>
      <c r="K8" s="5" t="inlineStr">
        <is>
          <t>Động từ: 'assimilate into' (đồng hóa, hòa nhập vào).</t>
        </is>
      </c>
    </row>
    <row r="9" ht="42" customHeight="1">
      <c r="A9" s="7" t="inlineStr">
        <is>
          <t>Unit 2: A Multicultural World</t>
        </is>
      </c>
      <c r="B9" s="8" t="inlineStr">
        <is>
          <t>acculturation</t>
        </is>
      </c>
      <c r="C9" s="9" t="inlineStr">
        <is>
          <t>noun</t>
        </is>
      </c>
      <c r="D9" s="7" t="inlineStr">
        <is>
          <t>/əˌkʌl.tʃəˈreɪ.ʃən/</t>
        </is>
      </c>
      <c r="E9" s="10" t="inlineStr">
        <is>
          <t>Sự tiếp biến văn hóa (sự biến đổi văn hóa khi hai nền văn hóa tiếp xúc lâu dài)</t>
        </is>
      </c>
      <c r="F9" s="11" t="inlineStr">
        <is>
          <t>C1</t>
        </is>
      </c>
      <c r="G9" s="10" t="inlineStr">
        <is>
          <t>Acculturation allows individuals to adopt values from a new host society while preserving native traditions.</t>
        </is>
      </c>
      <c r="H9" s="10" t="inlineStr">
        <is>
          <t>cultural adaptation, intercultural exchange</t>
        </is>
      </c>
      <c r="I9" s="10" t="inlineStr">
        <is>
          <t>cultural alienation, ethnocentrism</t>
        </is>
      </c>
      <c r="J9" s="10" t="inlineStr">
        <is>
          <t>process of acculturation, levels of acculturation, cross-cultural acculturation</t>
        </is>
      </c>
      <c r="K9" s="10" t="inlineStr">
        <is>
          <t>Thuật ngữ nhân học văn hóa nâng cao xuất hiện trong các bài đọc hiểu chuyên sâu.</t>
        </is>
      </c>
    </row>
    <row r="10" ht="42" customHeight="1">
      <c r="A10" s="2" t="inlineStr">
        <is>
          <t>Unit 2: A Multicultural World</t>
        </is>
      </c>
      <c r="B10" s="3" t="inlineStr">
        <is>
          <t>cultural identity</t>
        </is>
      </c>
      <c r="C10" s="4" t="inlineStr">
        <is>
          <t>noun phrase</t>
        </is>
      </c>
      <c r="D10" s="2" t="inlineStr">
        <is>
          <t>/ˌkʌl.tʃər.əl aɪˈden.tə.ti/</t>
        </is>
      </c>
      <c r="E10" s="5" t="inlineStr">
        <is>
          <t>Bản sắc văn hóa (những nét đặc trưng định hình nên một dân tộc/cộng đồng)</t>
        </is>
      </c>
      <c r="F10" s="6" t="inlineStr">
        <is>
          <t>B2</t>
        </is>
      </c>
      <c r="G10" s="5" t="inlineStr">
        <is>
          <t>Traditional festivals and the national costume Ao Dai play an essential role in safeguarding our cultural identity.</t>
        </is>
      </c>
      <c r="H10" s="5" t="inlineStr">
        <is>
          <t>cultural distinctiveness, national identity</t>
        </is>
      </c>
      <c r="I10" s="5" t="inlineStr">
        <is>
          <t>cultural homogenization</t>
        </is>
      </c>
      <c r="J10" s="5" t="inlineStr">
        <is>
          <t>preserve cultural identity, retain cultural identity, shape cultural identity, loss of identity</t>
        </is>
      </c>
      <c r="K10" s="5" t="inlineStr">
        <is>
          <t>Động từ: 'identify with' (đồng nhất, nhận diện với).</t>
        </is>
      </c>
    </row>
    <row r="11" ht="42" customHeight="1">
      <c r="A11" s="7" t="inlineStr">
        <is>
          <t>Unit 2: A Multicultural World</t>
        </is>
      </c>
      <c r="B11" s="8" t="inlineStr">
        <is>
          <t>melting pot</t>
        </is>
      </c>
      <c r="C11" s="9" t="inlineStr">
        <is>
          <t>noun phrase</t>
        </is>
      </c>
      <c r="D11" s="7" t="inlineStr">
        <is>
          <t>/ˈmel.tɪŋ ˌpɒt/</t>
        </is>
      </c>
      <c r="E11" s="10" t="inlineStr">
        <is>
          <t>Nồi lẩu văn hóa (nơi giao thoa và hòa trộn nhiều sắc tộc, nền văn hóa khác nhau)</t>
        </is>
      </c>
      <c r="F11" s="11" t="inlineStr">
        <is>
          <t>C1</t>
        </is>
      </c>
      <c r="G11" s="10" t="inlineStr">
        <is>
          <t>New York City is often referred to as a vibrant melting pot of global cultures and cuisines.</t>
        </is>
      </c>
      <c r="H11" s="10" t="inlineStr">
        <is>
          <t>cultural mosaic, multicultural society, cosmopolitan center</t>
        </is>
      </c>
      <c r="I11" s="10" t="inlineStr">
        <is>
          <t>monocultural society, homogeneous community</t>
        </is>
      </c>
      <c r="J11" s="10" t="inlineStr">
        <is>
          <t>cultural melting pot, dynamic melting pot, urban melting pot</t>
        </is>
      </c>
      <c r="K11" s="10" t="inlineStr">
        <is>
          <t>Phân biệt với mô hình 'salad bowl' (các nền văn hóa cùng tồn tại nhưng giữ nguyên bản sắc riêng).</t>
        </is>
      </c>
    </row>
    <row r="12" ht="42" customHeight="1">
      <c r="A12" s="2" t="inlineStr">
        <is>
          <t>Unit 2: A Multicultural World</t>
        </is>
      </c>
      <c r="B12" s="3" t="inlineStr">
        <is>
          <t>ethnocentrism</t>
        </is>
      </c>
      <c r="C12" s="4" t="inlineStr">
        <is>
          <t>noun</t>
        </is>
      </c>
      <c r="D12" s="2" t="inlineStr">
        <is>
          <t>/ˌeθ.nəʊˈsen.trɪ.zəm/</t>
        </is>
      </c>
      <c r="E12" s="5" t="inlineStr">
        <is>
          <t>Chủ nghĩa vị chủng (thái độ cho rằng văn hóa dân tộc mình là ưu việt hơn tất cả)</t>
        </is>
      </c>
      <c r="F12" s="6" t="inlineStr">
        <is>
          <t>C1</t>
        </is>
      </c>
      <c r="G12" s="5" t="inlineStr">
        <is>
          <t>Education must combat ethnocentrism by teaching empathy and cross-cultural appreciation.</t>
        </is>
      </c>
      <c r="H12" s="5" t="inlineStr">
        <is>
          <t>cultural superiority, cultural chauvinism, xenophobia</t>
        </is>
      </c>
      <c r="I12" s="5" t="inlineStr">
        <is>
          <t>cultural relativism, cosmopolitanism, open-mindedness</t>
        </is>
      </c>
      <c r="J12" s="5" t="inlineStr">
        <is>
          <t>overcome ethnocentrism, danger of ethnocentrism, ethnocentric attitude</t>
        </is>
      </c>
      <c r="K12" s="5" t="inlineStr">
        <is>
          <t>Tính từ: 'ethnocentric' /ˌeθ.nəʊˈsen.trɪk/.</t>
        </is>
      </c>
    </row>
    <row r="13" ht="42" customHeight="1">
      <c r="A13" s="7" t="inlineStr">
        <is>
          <t>Unit 2: A Multicultural World</t>
        </is>
      </c>
      <c r="B13" s="8" t="inlineStr">
        <is>
          <t>diversity</t>
        </is>
      </c>
      <c r="C13" s="9" t="inlineStr">
        <is>
          <t>noun</t>
        </is>
      </c>
      <c r="D13" s="7" t="inlineStr">
        <is>
          <t>/daɪˈvɜː.sə.ti/</t>
        </is>
      </c>
      <c r="E13" s="10" t="inlineStr">
        <is>
          <t>Sự đa dạng phong phú về văn hóa, chủng tộc hoặc quan điểm</t>
        </is>
      </c>
      <c r="F13" s="11" t="inlineStr">
        <is>
          <t>B2</t>
        </is>
      </c>
      <c r="G13" s="10" t="inlineStr">
        <is>
          <t>Modern corporations celebrate workforce diversity as a key catalyst for innovation.</t>
        </is>
      </c>
      <c r="H13" s="10" t="inlineStr">
        <is>
          <t>variety, heterogeneity, multiplicity, richness</t>
        </is>
      </c>
      <c r="I13" s="10" t="inlineStr">
        <is>
          <t>uniformity, monotony, homogeneity</t>
        </is>
      </c>
      <c r="J13" s="10" t="inlineStr">
        <is>
          <t>cultural diversity, ethnic diversity, embrace diversity, promote diversity</t>
        </is>
      </c>
      <c r="K13" s="10" t="inlineStr">
        <is>
          <t>Tính từ: 'diverse' /daɪˈvɜːs/. Động từ: 'diversify' (đa dạng hóa).</t>
        </is>
      </c>
    </row>
    <row r="14" ht="42" customHeight="1">
      <c r="A14" s="2" t="inlineStr">
        <is>
          <t>Unit 3: Green Living</t>
        </is>
      </c>
      <c r="B14" s="3" t="inlineStr">
        <is>
          <t>circular economy</t>
        </is>
      </c>
      <c r="C14" s="4" t="inlineStr">
        <is>
          <t>noun phrase</t>
        </is>
      </c>
      <c r="D14" s="2" t="inlineStr">
        <is>
          <t>/ˌsɜː.kjə.lər iˈkɒn.ə.mi/</t>
        </is>
      </c>
      <c r="E14" s="5" t="inlineStr">
        <is>
          <t>Kinh tế tuần hoàn (mô hình kinh tế tái sinh, giảm thiểu tối đa rác thải bằng tái chế)</t>
        </is>
      </c>
      <c r="F14" s="6" t="inlineStr">
        <is>
          <t>C1</t>
        </is>
      </c>
      <c r="G14" s="5" t="inlineStr">
        <is>
          <t>Transitioning to a circular economy helps businesses reuse raw materials and eliminate toxic waste.</t>
        </is>
      </c>
      <c r="H14" s="5" t="inlineStr">
        <is>
          <t>closed-loop economy, regenerative economic model</t>
        </is>
      </c>
      <c r="I14" s="5" t="inlineStr">
        <is>
          <t>linear economy, take-make-dispose model</t>
        </is>
      </c>
      <c r="J14" s="5" t="inlineStr">
        <is>
          <t>adopt a circular economy, circular economy framework, principles of circular economy</t>
        </is>
      </c>
      <c r="K14" s="5" t="inlineStr">
        <is>
          <t>Mô hình tương phản với 'linear economy' (kinh tế tuyến tính).</t>
        </is>
      </c>
    </row>
    <row r="15" ht="42" customHeight="1">
      <c r="A15" s="7" t="inlineStr">
        <is>
          <t>Unit 3: Green Living</t>
        </is>
      </c>
      <c r="B15" s="8" t="inlineStr">
        <is>
          <t>carbon neutral</t>
        </is>
      </c>
      <c r="C15" s="9" t="inlineStr">
        <is>
          <t>adjective</t>
        </is>
      </c>
      <c r="D15" s="7" t="inlineStr">
        <is>
          <t>/ˌkɑː.bən ˈnjuː.trəl/</t>
        </is>
      </c>
      <c r="E15" s="10" t="inlineStr">
        <is>
          <t>Trung hòa carbon (đạt mức cân bằng giữa lượng phát thải và lượng hấp thụ CO2)</t>
        </is>
      </c>
      <c r="F15" s="11" t="inlineStr">
        <is>
          <t>B2</t>
        </is>
      </c>
      <c r="G15" s="10" t="inlineStr">
        <is>
          <t>Vietnam has committed to achieving net-zero emissions and becoming carbon neutral by 2050.</t>
        </is>
      </c>
      <c r="H15" s="10" t="inlineStr">
        <is>
          <t>net-zero, climate neutral, zero-carbon</t>
        </is>
      </c>
      <c r="I15" s="10" t="inlineStr">
        <is>
          <t>carbon-intensive, high-emission</t>
        </is>
      </c>
      <c r="J15" s="10" t="inlineStr">
        <is>
          <t>carbon neutral pledge, achieve carbon neutrality, carbon neutral lifestyle</t>
        </is>
      </c>
      <c r="K15" s="10" t="inlineStr">
        <is>
          <t>Danh từ: 'carbon neutrality' /ˌkɑː.bən njuːˈtræl.ə.ti/.</t>
        </is>
      </c>
    </row>
    <row r="16" ht="42" customHeight="1">
      <c r="A16" s="2" t="inlineStr">
        <is>
          <t>Unit 3: Green Living</t>
        </is>
      </c>
      <c r="B16" s="3" t="inlineStr">
        <is>
          <t>single-use plastic</t>
        </is>
      </c>
      <c r="C16" s="4" t="inlineStr">
        <is>
          <t>noun phrase</t>
        </is>
      </c>
      <c r="D16" s="2" t="inlineStr">
        <is>
          <t>/ˌsɪŋ.ɡəl juːs ˈplæs.tɪk/</t>
        </is>
      </c>
      <c r="E16" s="5" t="inlineStr">
        <is>
          <t>Nhựa dùng một lần (vật dụng nhựa sử dụng một lần rồi vứt bỏ gây hại môi trường)</t>
        </is>
      </c>
      <c r="F16" s="6" t="inlineStr">
        <is>
          <t>B1</t>
        </is>
      </c>
      <c r="G16" s="5" t="inlineStr">
        <is>
          <t>Many urban cafes have completely banned single-use plastic straws and cutlery.</t>
        </is>
      </c>
      <c r="H16" s="5" t="inlineStr">
        <is>
          <t>disposable plastic, throwaway plastic</t>
        </is>
      </c>
      <c r="I16" s="5" t="inlineStr">
        <is>
          <t>reusable containers, biodegradable packaging</t>
        </is>
      </c>
      <c r="J16" s="5" t="inlineStr">
        <is>
          <t>ban single-use plastic, phase out single-use plastic, reliance on single-use plastic</t>
        </is>
      </c>
      <c r="K16" s="5" t="inlineStr">
        <is>
          <t>Tính từ ghép 'single-use' = disposable.</t>
        </is>
      </c>
    </row>
    <row r="17" ht="42" customHeight="1">
      <c r="A17" s="7" t="inlineStr">
        <is>
          <t>Unit 3: Green Living</t>
        </is>
      </c>
      <c r="B17" s="8" t="inlineStr">
        <is>
          <t>deplete</t>
        </is>
      </c>
      <c r="C17" s="9" t="inlineStr">
        <is>
          <t>verb</t>
        </is>
      </c>
      <c r="D17" s="7" t="inlineStr">
        <is>
          <t>/dɪˈpliːt/</t>
        </is>
      </c>
      <c r="E17" s="10" t="inlineStr">
        <is>
          <t>Làm cạn kiệt, làm suy giảm nghiêm trọng nguồn tài nguyên</t>
        </is>
      </c>
      <c r="F17" s="11" t="inlineStr">
        <is>
          <t>B2</t>
        </is>
      </c>
      <c r="G17" s="10" t="inlineStr">
        <is>
          <t>Overexploitation of underground water sources will rapidly deplete natural freshwater reserves.</t>
        </is>
      </c>
      <c r="H17" s="10" t="inlineStr">
        <is>
          <t>exhaust, drain, consume, use up</t>
        </is>
      </c>
      <c r="I17" s="10" t="inlineStr">
        <is>
          <t>replenish, restore, regenerate, renew</t>
        </is>
      </c>
      <c r="J17" s="10" t="inlineStr">
        <is>
          <t>deplete natural resources, deplete the ozone layer, severely deplete</t>
        </is>
      </c>
      <c r="K17" s="10" t="inlineStr">
        <is>
          <t>Danh từ: 'depletion' (resource depletion = sự cạn kiệt tài nguyên).</t>
        </is>
      </c>
    </row>
    <row r="18" ht="42" customHeight="1">
      <c r="A18" s="2" t="inlineStr">
        <is>
          <t>Unit 3: Green Living</t>
        </is>
      </c>
      <c r="B18" s="3" t="inlineStr">
        <is>
          <t>renewable energy</t>
        </is>
      </c>
      <c r="C18" s="4" t="inlineStr">
        <is>
          <t>noun phrase</t>
        </is>
      </c>
      <c r="D18" s="2" t="inlineStr">
        <is>
          <t>/rɪˈnjuː.ə.bəl ˈen.ə.dʒi/</t>
        </is>
      </c>
      <c r="E18" s="5" t="inlineStr">
        <is>
          <t>Năng lượng tái tạo (năng lượng vô tận từ gió, mặt trời, địa nhiệt)</t>
        </is>
      </c>
      <c r="F18" s="6" t="inlineStr">
        <is>
          <t>B1</t>
        </is>
      </c>
      <c r="G18" s="5" t="inlineStr">
        <is>
          <t>Investing in renewable energy infrastructure creates green jobs and stabilizes power grids.</t>
        </is>
      </c>
      <c r="H18" s="5" t="inlineStr">
        <is>
          <t>green energy, sustainable power, clean energy</t>
        </is>
      </c>
      <c r="I18" s="5" t="inlineStr">
        <is>
          <t>fossil fuels, exhaustible energy</t>
        </is>
      </c>
      <c r="J18" s="5" t="inlineStr">
        <is>
          <t>source of renewable energy, harness renewable energy, switch to renewable energy</t>
        </is>
      </c>
      <c r="K18" s="5" t="inlineStr">
        <is>
          <t>Tính từ 'renewable' bắt nguồn từ re- (lại) + new (mới) + -able (có thể).</t>
        </is>
      </c>
    </row>
    <row r="19" ht="42" customHeight="1">
      <c r="A19" s="7" t="inlineStr">
        <is>
          <t>Unit 3: Green Living</t>
        </is>
      </c>
      <c r="B19" s="8" t="inlineStr">
        <is>
          <t>sustainability</t>
        </is>
      </c>
      <c r="C19" s="9" t="inlineStr">
        <is>
          <t>noun</t>
        </is>
      </c>
      <c r="D19" s="7" t="inlineStr">
        <is>
          <t>/səˌsteɪ.nəˈbɪl.ə.ti/</t>
        </is>
      </c>
      <c r="E19" s="10" t="inlineStr">
        <is>
          <t>Tính bền vững, khả năng duy trì lâu dài mà không phá hủy hệ sinh thái</t>
        </is>
      </c>
      <c r="F19" s="11" t="inlineStr">
        <is>
          <t>B2</t>
        </is>
      </c>
      <c r="G19" s="10" t="inlineStr">
        <is>
          <t>Environmental sustainability must be integrated into every stage of urban architectural design.</t>
        </is>
      </c>
      <c r="H19" s="10" t="inlineStr">
        <is>
          <t>viability, eco-friendly maintenance, ecological balance</t>
        </is>
      </c>
      <c r="I19" s="10" t="inlineStr">
        <is>
          <t>unsustainability, ecocide</t>
        </is>
      </c>
      <c r="J19" s="10" t="inlineStr">
        <is>
          <t>environmental sustainability, long-term sustainability, achieve sustainability</t>
        </is>
      </c>
      <c r="K19" s="10" t="inlineStr">
        <is>
          <t>Trọng âm 4: sus-tain-a-BIL-i-ty. Tính từ: sustainable.</t>
        </is>
      </c>
    </row>
    <row r="20" ht="42" customHeight="1">
      <c r="A20" s="2" t="inlineStr">
        <is>
          <t>Unit 4: Urbanisation</t>
        </is>
      </c>
      <c r="B20" s="3" t="inlineStr">
        <is>
          <t>urban sprawl</t>
        </is>
      </c>
      <c r="C20" s="4" t="inlineStr">
        <is>
          <t>noun phrase</t>
        </is>
      </c>
      <c r="D20" s="2" t="inlineStr">
        <is>
          <t>/ˌɜː.bən ˈsprɔːl/</t>
        </is>
      </c>
      <c r="E20" s="5" t="inlineStr">
        <is>
          <t>Sự mở rộng đô thị tự phát, tràn lan thiếu quy hoạch ra vùng ven</t>
        </is>
      </c>
      <c r="F20" s="6" t="inlineStr">
        <is>
          <t>C1</t>
        </is>
      </c>
      <c r="G20" s="5" t="inlineStr">
        <is>
          <t>Unchecked urban sprawl consumes fertile agricultural lands and exacerbates traffic gridlock.</t>
        </is>
      </c>
      <c r="H20" s="5" t="inlineStr">
        <is>
          <t>uncontrolled suburbanization, metropolitan spread</t>
        </is>
      </c>
      <c r="I20" s="5" t="inlineStr">
        <is>
          <t>compact city, controlled urban growth</t>
        </is>
      </c>
      <c r="J20" s="5" t="inlineStr">
        <is>
          <t>combat urban sprawl, consequences of urban sprawl, rapid urban sprawl</t>
        </is>
      </c>
      <c r="K20" s="5" t="inlineStr">
        <is>
          <t>'Sprawl' (noun/verb) chỉ sự lan rộng, ngổn ngang không kiểm soát.</t>
        </is>
      </c>
    </row>
    <row r="21" ht="42" customHeight="1">
      <c r="A21" s="7" t="inlineStr">
        <is>
          <t>Unit 4: Urbanisation</t>
        </is>
      </c>
      <c r="B21" s="8" t="inlineStr">
        <is>
          <t>rural-to-urban migration</t>
        </is>
      </c>
      <c r="C21" s="9" t="inlineStr">
        <is>
          <t>noun phrase</t>
        </is>
      </c>
      <c r="D21" s="7" t="inlineStr">
        <is>
          <t>/ˌrʊə.rəl tu ˈɜː.bən maɪˈɡreɪ.ʃən/</t>
        </is>
      </c>
      <c r="E21" s="10" t="inlineStr">
        <is>
          <t>Sự di cư từ nông thôn ra thành thị tìm kiếm cơ hội sinh kế</t>
        </is>
      </c>
      <c r="F21" s="11" t="inlineStr">
        <is>
          <t>B2</t>
        </is>
      </c>
      <c r="G21" s="10" t="inlineStr">
        <is>
          <t>Massive rural-to-urban migration puts severe pressure on housing, healthcare, and electricity in megacities.</t>
        </is>
      </c>
      <c r="H21" s="10" t="inlineStr">
        <is>
          <t>urban drift, rural exodus, urbanization flow</t>
        </is>
      </c>
      <c r="I21" s="10" t="inlineStr">
        <is>
          <t>counter-urbanization, urban-to-rural migration</t>
        </is>
      </c>
      <c r="J21" s="10" t="inlineStr">
        <is>
          <t>wave of rural-to-urban migration, drivers of rural-to-urban migration, handle migration</t>
        </is>
      </c>
      <c r="K21" s="10" t="inlineStr">
        <is>
          <t>Người di cư là 'migrant' /ˈmaɪ.ɡrənt/. Động từ: 'migrate'.</t>
        </is>
      </c>
    </row>
    <row r="22" ht="42" customHeight="1">
      <c r="A22" s="2" t="inlineStr">
        <is>
          <t>Unit 4: Urbanisation</t>
        </is>
      </c>
      <c r="B22" s="3" t="inlineStr">
        <is>
          <t>infrastructure overload</t>
        </is>
      </c>
      <c r="C22" s="4" t="inlineStr">
        <is>
          <t>noun phrase</t>
        </is>
      </c>
      <c r="D22" s="2" t="inlineStr">
        <is>
          <t>/ˈɪn.frəˌstrʌk.tʃər ˌəʊ.vəˈləʊd/</t>
        </is>
      </c>
      <c r="E22" s="5" t="inlineStr">
        <is>
          <t>Sự quá tải cơ sở hạ tầng (cầu đường, trường học, bệnh viện quá tải người dùng)</t>
        </is>
      </c>
      <c r="F22" s="6" t="inlineStr">
        <is>
          <t>B2</t>
        </is>
      </c>
      <c r="G22" s="5" t="inlineStr">
        <is>
          <t>Rapid population boom in metropolitan areas frequently results in acute infrastructure overload.</t>
        </is>
      </c>
      <c r="H22" s="5" t="inlineStr">
        <is>
          <t>infrastructure strain, municipal congestion</t>
        </is>
      </c>
      <c r="I22" s="5" t="inlineStr">
        <is>
          <t>adequate infrastructure capacity</t>
        </is>
      </c>
      <c r="J22" s="5" t="inlineStr">
        <is>
          <t>lead to infrastructure overload, suffer from infrastructure overload, ease overload</t>
        </is>
      </c>
      <c r="K22" s="5" t="inlineStr">
        <is>
          <t>Overload vừa là danh từ vừa là động từ (làm quá tải).</t>
        </is>
      </c>
    </row>
    <row r="23" ht="42" customHeight="1">
      <c r="A23" s="7" t="inlineStr">
        <is>
          <t>Unit 4: Urbanisation</t>
        </is>
      </c>
      <c r="B23" s="8" t="inlineStr">
        <is>
          <t>slum</t>
        </is>
      </c>
      <c r="C23" s="9" t="inlineStr">
        <is>
          <t>noun</t>
        </is>
      </c>
      <c r="D23" s="7" t="inlineStr">
        <is>
          <t>/slʌm/</t>
        </is>
      </c>
      <c r="E23" s="10" t="inlineStr">
        <is>
          <t>Khu nhà ổ chuột, khu ổ chuột lụp xụp thiếu thốn điều kiện vệ sinh</t>
        </is>
      </c>
      <c r="F23" s="11" t="inlineStr">
        <is>
          <t>B2</t>
        </is>
      </c>
      <c r="G23" s="10" t="inlineStr">
        <is>
          <t>City municipal programs aim to upgrade slum areas by constructing affordable social housing.</t>
        </is>
      </c>
      <c r="H23" s="10" t="inlineStr">
        <is>
          <t>shantytown, ghetto, squatter settlement</t>
        </is>
      </c>
      <c r="I23" s="10" t="inlineStr">
        <is>
          <t>upscale neighborhood, affluent residential area</t>
        </is>
      </c>
      <c r="J23" s="10" t="inlineStr">
        <is>
          <t>slum clearance, slum dweller, live in a slum, urban slum</t>
        </is>
      </c>
      <c r="K23" s="10" t="inlineStr">
        <is>
          <t>Cụm từ: 'slum dwellers' (cư dân sinh sống tại các khu ổ chuột).</t>
        </is>
      </c>
    </row>
    <row r="24" ht="42" customHeight="1">
      <c r="A24" s="2" t="inlineStr">
        <is>
          <t>Unit 4: Urbanisation</t>
        </is>
      </c>
      <c r="B24" s="3" t="inlineStr">
        <is>
          <t>sanitation</t>
        </is>
      </c>
      <c r="C24" s="4" t="inlineStr">
        <is>
          <t>noun</t>
        </is>
      </c>
      <c r="D24" s="2" t="inlineStr">
        <is>
          <t>/ˌsæn.ɪˈteɪ.ʃən/</t>
        </is>
      </c>
      <c r="E24" s="5" t="inlineStr">
        <is>
          <t>Hệ thống vệ sinh môi trường công cộng và xử lý nước thải</t>
        </is>
      </c>
      <c r="F24" s="6" t="inlineStr">
        <is>
          <t>B2</t>
        </is>
      </c>
      <c r="G24" s="5" t="inlineStr">
        <is>
          <t>Poor sanitation in densely populated quarters increases the risk of waterborne disease outbreaks.</t>
        </is>
      </c>
      <c r="H24" s="5" t="inlineStr">
        <is>
          <t>public hygiene, sewage disposal, clean water facilities</t>
        </is>
      </c>
      <c r="I24" s="5" t="inlineStr">
        <is>
          <t>insanitation, pollution, filth</t>
        </is>
      </c>
      <c r="J24" s="5" t="inlineStr">
        <is>
          <t>improve sanitation, basic sanitation facilities, access to clean sanitation</t>
        </is>
      </c>
      <c r="K24" s="5" t="inlineStr">
        <is>
          <t>Tính từ: 'sanitary' /ˈsæn.ɪ.tri/ (hợp vệ sinh). Trái nghĩa: unsanitary.</t>
        </is>
      </c>
    </row>
    <row r="25" ht="42" customHeight="1">
      <c r="A25" s="7" t="inlineStr">
        <is>
          <t>Unit 4: Urbanisation</t>
        </is>
      </c>
      <c r="B25" s="8" t="inlineStr">
        <is>
          <t>dense</t>
        </is>
      </c>
      <c r="C25" s="9" t="inlineStr">
        <is>
          <t>adjective</t>
        </is>
      </c>
      <c r="D25" s="7" t="inlineStr">
        <is>
          <t>/dens/</t>
        </is>
      </c>
      <c r="E25" s="10" t="inlineStr">
        <is>
          <t>Dày đặc, đông đúc (mật độ dân số cao)</t>
        </is>
      </c>
      <c r="F25" s="11" t="inlineStr">
        <is>
          <t>B2</t>
        </is>
      </c>
      <c r="G25" s="10" t="inlineStr">
        <is>
          <t>Hanoi and Ho Chi Minh City feature some of the most dense urban population centers in Southeast Asia.</t>
        </is>
      </c>
      <c r="H25" s="10" t="inlineStr">
        <is>
          <t>crowded, congested, packed, highly concentrated</t>
        </is>
      </c>
      <c r="I25" s="10" t="inlineStr">
        <is>
          <t>sparse, thinly populated, scattered</t>
        </is>
      </c>
      <c r="J25" s="10" t="inlineStr">
        <is>
          <t>densely populated, dense forest, dense traffic, dense smog</t>
        </is>
      </c>
      <c r="K25" s="10" t="inlineStr">
        <is>
          <t>Trạng từ: 'densely'. Danh từ: 'density' (population density = mật độ dân số).</t>
        </is>
      </c>
    </row>
    <row r="26" ht="42" customHeight="1">
      <c r="A26" s="2" t="inlineStr">
        <is>
          <t>Unit 5: The World of Work</t>
        </is>
      </c>
      <c r="B26" s="3" t="inlineStr">
        <is>
          <t>adaptability</t>
        </is>
      </c>
      <c r="C26" s="4" t="inlineStr">
        <is>
          <t>noun</t>
        </is>
      </c>
      <c r="D26" s="2" t="inlineStr">
        <is>
          <t>/əˌdæp.təˈbɪl.ə.ti/</t>
        </is>
      </c>
      <c r="E26" s="5" t="inlineStr">
        <is>
          <t>Khả năng thích ứng linh hoạt trước những thay đổi nhanh chóng của thị trường</t>
        </is>
      </c>
      <c r="F26" s="6" t="inlineStr">
        <is>
          <t>B2</t>
        </is>
      </c>
      <c r="G26" s="5" t="inlineStr">
        <is>
          <t>In an ever-evolving digital job market, adaptability is considered the most critical professional skill.</t>
        </is>
      </c>
      <c r="H26" s="5" t="inlineStr">
        <is>
          <t>flexibility, resilience, versatility, agility</t>
        </is>
      </c>
      <c r="I26" s="5" t="inlineStr">
        <is>
          <t>rigidity, inflexibility, obstinacy</t>
        </is>
      </c>
      <c r="J26" s="5" t="inlineStr">
        <is>
          <t>show high adaptability, demonstrate adaptability, career adaptability</t>
        </is>
      </c>
      <c r="K26" s="5" t="inlineStr">
        <is>
          <t>Động từ: 'adapt to' (thích nghi với). Tính từ: adaptable.</t>
        </is>
      </c>
    </row>
    <row r="27" ht="42" customHeight="1">
      <c r="A27" s="7" t="inlineStr">
        <is>
          <t>Unit 5: The World of Work</t>
        </is>
      </c>
      <c r="B27" s="8" t="inlineStr">
        <is>
          <t>gig economy</t>
        </is>
      </c>
      <c r="C27" s="9" t="inlineStr">
        <is>
          <t>noun phrase</t>
        </is>
      </c>
      <c r="D27" s="7" t="inlineStr">
        <is>
          <t>/ˈɡɪɡ ɪˌkɒn.ə.mi/</t>
        </is>
      </c>
      <c r="E27" s="10" t="inlineStr">
        <is>
          <t>Nền kinh tế việc làm tự do (nền kinh tế dựa trên các công việc thời vụ, tự do ngắn hạn)</t>
        </is>
      </c>
      <c r="F27" s="11" t="inlineStr">
        <is>
          <t>C1</t>
        </is>
      </c>
      <c r="G27" s="10" t="inlineStr">
        <is>
          <t>The gig economy enables millions of freelance workers to choose flexible working hours via digital apps.</t>
        </is>
      </c>
      <c r="H27" s="10" t="inlineStr">
        <is>
          <t>freelance economy, on-demand labor market</t>
        </is>
      </c>
      <c r="I27" s="10" t="inlineStr">
        <is>
          <t>traditional permanent employment, nine-to-five job</t>
        </is>
      </c>
      <c r="J27" s="10" t="inlineStr">
        <is>
          <t>rise of the gig economy, gig economy workers, participate in the gig economy</t>
        </is>
      </c>
      <c r="K27" s="10" t="inlineStr">
        <is>
          <t>'Gig' ban đầu là buổi diễn ca nhạc, nay mang nghĩa công việc hợp đồng ngắn hạn.</t>
        </is>
      </c>
    </row>
    <row r="28" ht="42" customHeight="1">
      <c r="A28" s="2" t="inlineStr">
        <is>
          <t>Unit 5: The World of Work</t>
        </is>
      </c>
      <c r="B28" s="3" t="inlineStr">
        <is>
          <t>job security</t>
        </is>
      </c>
      <c r="C28" s="4" t="inlineStr">
        <is>
          <t>noun phrase</t>
        </is>
      </c>
      <c r="D28" s="2" t="inlineStr">
        <is>
          <t>/ˈdʒɒb sɪˌkjʊə.rə.ti/</t>
        </is>
      </c>
      <c r="E28" s="5" t="inlineStr">
        <is>
          <t>Sự bảo đảm việc làm, tính ổn định không lo bị sa thải</t>
        </is>
      </c>
      <c r="F28" s="6" t="inlineStr">
        <is>
          <t>B2</t>
        </is>
      </c>
      <c r="G28" s="5" t="inlineStr">
        <is>
          <t>Many graduates prioritize civil service careers because they offer high job security and solid pensions.</t>
        </is>
      </c>
      <c r="H28" s="5" t="inlineStr">
        <is>
          <t>employment stability, career certainty</t>
        </is>
      </c>
      <c r="I28" s="5" t="inlineStr">
        <is>
          <t>job insecurity, precarity, risk of layoff</t>
        </is>
      </c>
      <c r="J28" s="5" t="inlineStr">
        <is>
          <t>high job security, lack of job security, seek job security, guarantee job security</t>
        </is>
      </c>
      <c r="K28" s="5" t="inlineStr">
        <is>
          <t>Trái nghĩa: 'job insecurity' (sự bấp bênh trong công việc).</t>
        </is>
      </c>
    </row>
    <row r="29" ht="42" customHeight="1">
      <c r="A29" s="7" t="inlineStr">
        <is>
          <t>Unit 5: The World of Work</t>
        </is>
      </c>
      <c r="B29" s="8" t="inlineStr">
        <is>
          <t>upskill</t>
        </is>
      </c>
      <c r="C29" s="9" t="inlineStr">
        <is>
          <t>verb</t>
        </is>
      </c>
      <c r="D29" s="7" t="inlineStr">
        <is>
          <t>/ˌʌpˈskɪl/</t>
        </is>
      </c>
      <c r="E29" s="10" t="inlineStr">
        <is>
          <t>Nâng cao tay nghề, học thêm các kỹ năng mới cao cấp hơn</t>
        </is>
      </c>
      <c r="F29" s="11" t="inlineStr">
        <is>
          <t>B2</t>
        </is>
      </c>
      <c r="G29" s="10" t="inlineStr">
        <is>
          <t>Employees must continuously upskill in data analysis and AI tools to remain competitive.</t>
        </is>
      </c>
      <c r="H29" s="10" t="inlineStr">
        <is>
          <t>enhance skills, reskill, upgrade qualifications, retrain</t>
        </is>
      </c>
      <c r="I29" s="10" t="inlineStr">
        <is>
          <t>stagnate, deskill</t>
        </is>
      </c>
      <c r="J29" s="10" t="inlineStr">
        <is>
          <t>upskill the workforce, upskill employees, opportunities to upskill</t>
        </is>
      </c>
      <c r="K29" s="10" t="inlineStr">
        <is>
          <t>Đi kèm cặp với 'reskill' (đào tạo lại kỹ năng để chuyển đổi nghề).</t>
        </is>
      </c>
    </row>
    <row r="30" ht="42" customHeight="1">
      <c r="A30" s="2" t="inlineStr">
        <is>
          <t>Unit 5: The World of Work</t>
        </is>
      </c>
      <c r="B30" s="3" t="inlineStr">
        <is>
          <t>telecommuting</t>
        </is>
      </c>
      <c r="C30" s="4" t="inlineStr">
        <is>
          <t>noun</t>
        </is>
      </c>
      <c r="D30" s="2" t="inlineStr">
        <is>
          <t>/ˌtel.ɪ.kəˈmjuː.tɪŋ/</t>
        </is>
      </c>
      <c r="E30" s="5" t="inlineStr">
        <is>
          <t>Làm việc từ xa (làm việc tại nhà qua máy tính kết nối Internet)</t>
        </is>
      </c>
      <c r="F30" s="6" t="inlineStr">
        <is>
          <t>B2</t>
        </is>
      </c>
      <c r="G30" s="5" t="inlineStr">
        <is>
          <t>Telecommuting reduces daily commuting stress and enables a healthier work-life balance for parents.</t>
        </is>
      </c>
      <c r="H30" s="5" t="inlineStr">
        <is>
          <t>remote work, working from home (WFH), telework</t>
        </is>
      </c>
      <c r="I30" s="5" t="inlineStr">
        <is>
          <t>on-site work, office-based work</t>
        </is>
      </c>
      <c r="J30" s="5" t="inlineStr">
        <is>
          <t>embrace telecommuting, telecommuting arrangement, telecommuting policy</t>
        </is>
      </c>
      <c r="K30" s="5" t="inlineStr">
        <is>
          <t>Người làm việc từ xa là 'telecommuter'.</t>
        </is>
      </c>
    </row>
    <row r="31" ht="42" customHeight="1">
      <c r="A31" s="7" t="inlineStr">
        <is>
          <t>Unit 5: The World of Work</t>
        </is>
      </c>
      <c r="B31" s="8" t="inlineStr">
        <is>
          <t>work ethic</t>
        </is>
      </c>
      <c r="C31" s="9" t="inlineStr">
        <is>
          <t>noun phrase</t>
        </is>
      </c>
      <c r="D31" s="7" t="inlineStr">
        <is>
          <t>/ˈwɜːk ˌeθ.ɪk/</t>
        </is>
      </c>
      <c r="E31" s="10" t="inlineStr">
        <is>
          <t>Đạo đức nghề nghiệp, thái độ làm việc chăm chỉ, kỷ luật và trách nhiệm</t>
        </is>
      </c>
      <c r="F31" s="11" t="inlineStr">
        <is>
          <t>B2</t>
        </is>
      </c>
      <c r="G31" s="10" t="inlineStr">
        <is>
          <t>Recruiters praise Vietnamese engineers for their exceptional work ethic and rapid learning capability.</t>
        </is>
      </c>
      <c r="H31" s="10" t="inlineStr">
        <is>
          <t>professional diligence, conscientious attitude</t>
        </is>
      </c>
      <c r="I31" s="10" t="inlineStr">
        <is>
          <t>sloth, unreliability, unprofessionalism</t>
        </is>
      </c>
      <c r="J31" s="10" t="inlineStr">
        <is>
          <t>strong work ethic, admirable work ethic, instill a work ethic</t>
        </is>
      </c>
      <c r="K31" s="10" t="inlineStr">
        <is>
          <t>Dùng tính từ: 'strong work ethic' (tinh thần trách nhiệm cao độ trong công việc).</t>
        </is>
      </c>
    </row>
    <row r="32" ht="42" customHeight="1">
      <c r="A32" s="2" t="inlineStr">
        <is>
          <t>Unit 6: Artificial Intelligence</t>
        </is>
      </c>
      <c r="B32" s="3" t="inlineStr">
        <is>
          <t>algorithm</t>
        </is>
      </c>
      <c r="C32" s="4" t="inlineStr">
        <is>
          <t>noun</t>
        </is>
      </c>
      <c r="D32" s="2" t="inlineStr">
        <is>
          <t>/ˈæl.ɡə.rɪ.ðəm/</t>
        </is>
      </c>
      <c r="E32" s="5" t="inlineStr">
        <is>
          <t>Thuật toán (tập hợp các quy tắc tính toán logic để xử lý dữ liệu và giải quyết bài toán)</t>
        </is>
      </c>
      <c r="F32" s="6" t="inlineStr">
        <is>
          <t>B2</t>
        </is>
      </c>
      <c r="G32" s="5" t="inlineStr">
        <is>
          <t>Social media platforms utilize sophisticated algorithms to recommend personalized video content.</t>
        </is>
      </c>
      <c r="H32" s="5" t="inlineStr">
        <is>
          <t>computational rule, mathematical procedure, coded formula</t>
        </is>
      </c>
      <c r="I32" s="5" t="inlineStr">
        <is>
          <t>N/A</t>
        </is>
      </c>
      <c r="J32" s="5" t="inlineStr">
        <is>
          <t>search algorithm, complex algorithm, machine learning algorithm, design an algorithm</t>
        </is>
      </c>
      <c r="K32" s="5" t="inlineStr">
        <is>
          <t>Trọng âm 1: AL-go-rithm. Tính từ: algorithmic.</t>
        </is>
      </c>
    </row>
    <row r="33" ht="42" customHeight="1">
      <c r="A33" s="7" t="inlineStr">
        <is>
          <t>Unit 6: Artificial Intelligence</t>
        </is>
      </c>
      <c r="B33" s="8" t="inlineStr">
        <is>
          <t>automation</t>
        </is>
      </c>
      <c r="C33" s="9" t="inlineStr">
        <is>
          <t>noun</t>
        </is>
      </c>
      <c r="D33" s="7" t="inlineStr">
        <is>
          <t>/ˌɔː.təˈmeɪ.ʃən/</t>
        </is>
      </c>
      <c r="E33" s="10" t="inlineStr">
        <is>
          <t>Sự tự động hóa (ứng dụng máy móc và robot thay thế thao tác thủ công của con người)</t>
        </is>
      </c>
      <c r="F33" s="11" t="inlineStr">
        <is>
          <t>B2</t>
        </is>
      </c>
      <c r="G33" s="10" t="inlineStr">
        <is>
          <t>Factory automation has dramatically boosted manufacturing productivity while reducing workplace hazards.</t>
        </is>
      </c>
      <c r="H33" s="10" t="inlineStr">
        <is>
          <t>mechanization, computerized operation, robotic control</t>
        </is>
      </c>
      <c r="I33" s="10" t="inlineStr">
        <is>
          <t>manual labor, handcrafting</t>
        </is>
      </c>
      <c r="J33" s="10" t="inlineStr">
        <is>
          <t>industrial automation, workplace automation, process automation</t>
        </is>
      </c>
      <c r="K33" s="10" t="inlineStr">
        <is>
          <t>Động từ: 'automate'. Tính từ: 'automated' (automated system).</t>
        </is>
      </c>
    </row>
    <row r="34" ht="42" customHeight="1">
      <c r="A34" s="2" t="inlineStr">
        <is>
          <t>Unit 6: Artificial Intelligence</t>
        </is>
      </c>
      <c r="B34" s="3" t="inlineStr">
        <is>
          <t>machine learning</t>
        </is>
      </c>
      <c r="C34" s="4" t="inlineStr">
        <is>
          <t>noun phrase</t>
        </is>
      </c>
      <c r="D34" s="2" t="inlineStr">
        <is>
          <t>/məˈʃiːn ˌlɜː.nɪŋ/</t>
        </is>
      </c>
      <c r="E34" s="5" t="inlineStr">
        <is>
          <t>Học máy (phân ngành của AI cho phép máy tính tự học hỏi và cải thiện từ dữ liệu)</t>
        </is>
      </c>
      <c r="F34" s="6" t="inlineStr">
        <is>
          <t>C1</t>
        </is>
      </c>
      <c r="G34" s="5" t="inlineStr">
        <is>
          <t>Machine learning algorithms can detect early stages of cancerous tumors on X-ray scans with high accuracy.</t>
        </is>
      </c>
      <c r="H34" s="5" t="inlineStr">
        <is>
          <t>deep learning, computational intelligence, neural networks</t>
        </is>
      </c>
      <c r="I34" s="5" t="inlineStr">
        <is>
          <t>N/A</t>
        </is>
      </c>
      <c r="J34" s="5" t="inlineStr">
        <is>
          <t>machine learning model, apply machine learning, machine learning techniques</t>
        </is>
      </c>
      <c r="K34" s="5" t="inlineStr">
        <is>
          <t>Viết tắt là ML. Nhánh con của AI.</t>
        </is>
      </c>
    </row>
    <row r="35" ht="42" customHeight="1">
      <c r="A35" s="7" t="inlineStr">
        <is>
          <t>Unit 6: Artificial Intelligence</t>
        </is>
      </c>
      <c r="B35" s="8" t="inlineStr">
        <is>
          <t>ethical concern</t>
        </is>
      </c>
      <c r="C35" s="9" t="inlineStr">
        <is>
          <t>noun phrase</t>
        </is>
      </c>
      <c r="D35" s="7" t="inlineStr">
        <is>
          <t>/ˈeθ.ɪ.kəl kənˌsɜːn/</t>
        </is>
      </c>
      <c r="E35" s="10" t="inlineStr">
        <is>
          <t>Mối lo ngại về mặt đạo đức, chuẩn mực luân lý trong ứng dụng công nghệ</t>
        </is>
      </c>
      <c r="F35" s="11" t="inlineStr">
        <is>
          <t>B2</t>
        </is>
      </c>
      <c r="G35" s="10" t="inlineStr">
        <is>
          <t>The use of autonomous weapons and facial recognition raises profound ethical concerns worldwide.</t>
        </is>
      </c>
      <c r="H35" s="10" t="inlineStr">
        <is>
          <t>moral dilemma, ethical issue, moral implication</t>
        </is>
      </c>
      <c r="I35" s="10" t="inlineStr">
        <is>
          <t>ethical consensus, moral certainty</t>
        </is>
      </c>
      <c r="J35" s="10" t="inlineStr">
        <is>
          <t>raise ethical concerns, address ethical concerns, spark ethical concerns</t>
        </is>
      </c>
      <c r="K35" s="10" t="inlineStr">
        <is>
          <t>Tính từ: 'ethical' (thuộc về đạo đức) &gt;&lt; 'unethical' (vô đạo đức/phi đạo đức).</t>
        </is>
      </c>
    </row>
    <row r="36" ht="42" customHeight="1">
      <c r="A36" s="2" t="inlineStr">
        <is>
          <t>Unit 6: Artificial Intelligence</t>
        </is>
      </c>
      <c r="B36" s="3" t="inlineStr">
        <is>
          <t>autonomous vehicle</t>
        </is>
      </c>
      <c r="C36" s="4" t="inlineStr">
        <is>
          <t>noun phrase</t>
        </is>
      </c>
      <c r="D36" s="2" t="inlineStr">
        <is>
          <t>/ɔːˈtɒn.ə.məs ˈvɪə.kəl/</t>
        </is>
      </c>
      <c r="E36" s="5" t="inlineStr">
        <is>
          <t>Xe tự hành (phương tiện giao thông tự lái hoàn toàn bằng AI và cảm biến)</t>
        </is>
      </c>
      <c r="F36" s="6" t="inlineStr">
        <is>
          <t>B2</t>
        </is>
      </c>
      <c r="G36" s="5" t="inlineStr">
        <is>
          <t>Autonomous vehicles are anticipated to minimize traffic accidents caused by human errors.</t>
        </is>
      </c>
      <c r="H36" s="5" t="inlineStr">
        <is>
          <t>self-driving car, driverless vehicle, robotic car</t>
        </is>
      </c>
      <c r="I36" s="5" t="inlineStr">
        <is>
          <t>human-driven vehicle</t>
        </is>
      </c>
      <c r="J36" s="5" t="inlineStr">
        <is>
          <t>test autonomous vehicles, safety of autonomous vehicles, fleet of autonomous vehicles</t>
        </is>
      </c>
      <c r="K36" s="5" t="inlineStr">
        <is>
          <t>'Autonomous' mang nghĩa tự chủ, tự hành. 'Vehicle' phát âm là /ˈvɪə.kəl/ hoặc /ˈviː.ə.kəl/.</t>
        </is>
      </c>
    </row>
    <row r="37" ht="42" customHeight="1">
      <c r="A37" s="7" t="inlineStr">
        <is>
          <t>Unit 6: Artificial Intelligence</t>
        </is>
      </c>
      <c r="B37" s="8" t="inlineStr">
        <is>
          <t>data privacy</t>
        </is>
      </c>
      <c r="C37" s="9" t="inlineStr">
        <is>
          <t>noun phrase</t>
        </is>
      </c>
      <c r="D37" s="7" t="inlineStr">
        <is>
          <t>/ˈdeɪ.tə ˈprɪv.ə.si/</t>
        </is>
      </c>
      <c r="E37" s="10" t="inlineStr">
        <is>
          <t>Quyền riêng tư dữ liệu cá nhân trên không gian mạng số</t>
        </is>
      </c>
      <c r="F37" s="11" t="inlineStr">
        <is>
          <t>B2</t>
        </is>
      </c>
      <c r="G37" s="10" t="inlineStr">
        <is>
          <t>Stringent data privacy regulations prevent technology giants from trading personal information without consent.</t>
        </is>
      </c>
      <c r="H37" s="10" t="inlineStr">
        <is>
          <t>information privacy, digital privacy, data confidentiality</t>
        </is>
      </c>
      <c r="I37" s="10" t="inlineStr">
        <is>
          <t>data breach, privacy invasion</t>
        </is>
      </c>
      <c r="J37" s="10" t="inlineStr">
        <is>
          <t>protect data privacy, violate data privacy, data privacy laws</t>
        </is>
      </c>
      <c r="K37" s="10" t="inlineStr">
        <is>
          <t>Cụm từ liên quan: 'data breach' (rò rỉ dữ liệu), 'data leak'.</t>
        </is>
      </c>
    </row>
    <row r="38" ht="42" customHeight="1">
      <c r="A38" s="2" t="inlineStr">
        <is>
          <t>Unit 7: World of Mass Media</t>
        </is>
      </c>
      <c r="B38" s="3" t="inlineStr">
        <is>
          <t>misinformation</t>
        </is>
      </c>
      <c r="C38" s="4" t="inlineStr">
        <is>
          <t>noun</t>
        </is>
      </c>
      <c r="D38" s="2" t="inlineStr">
        <is>
          <t>/ˌmɪs.ɪn.fəˈmeɪ.ʃən/</t>
        </is>
      </c>
      <c r="E38" s="5" t="inlineStr">
        <is>
          <t>Thông tin sai lệch (thông tin không đúng sự thật do sơ suất hoặc lan truyền sai)</t>
        </is>
      </c>
      <c r="F38" s="6" t="inlineStr">
        <is>
          <t>B2</t>
        </is>
      </c>
      <c r="G38" s="5" t="inlineStr">
        <is>
          <t>Users should verify news sources carefully to avoid spreading medical misinformation online.</t>
        </is>
      </c>
      <c r="H38" s="5" t="inlineStr">
        <is>
          <t>fake news, false info, inaccurate reporting</t>
        </is>
      </c>
      <c r="I38" s="5" t="inlineStr">
        <is>
          <t>fact, accurate information, verified truth</t>
        </is>
      </c>
      <c r="J38" s="5" t="inlineStr">
        <is>
          <t>spread misinformation, combat misinformation, rampant misinformation</t>
        </is>
      </c>
      <c r="K38" s="5" t="inlineStr">
        <is>
          <t>Phân biệt: 'misinformation' (tin sai vô ý) &amp; 'disinformation' (tin giả cố tình bịa đặt để lừa đảo).</t>
        </is>
      </c>
    </row>
    <row r="39" ht="42" customHeight="1">
      <c r="A39" s="7" t="inlineStr">
        <is>
          <t>Unit 7: World of Mass Media</t>
        </is>
      </c>
      <c r="B39" s="8" t="inlineStr">
        <is>
          <t>media literacy</t>
        </is>
      </c>
      <c r="C39" s="9" t="inlineStr">
        <is>
          <t>noun phrase</t>
        </is>
      </c>
      <c r="D39" s="7" t="inlineStr">
        <is>
          <t>/ˈmiː.di.ə ˈlɪt.ər.ə.si/</t>
        </is>
      </c>
      <c r="E39" s="10" t="inlineStr">
        <is>
          <t>Năng lực hiểu biết truyền thông (kỹ năng tiếp nhận, phân tích và đánh giá phản biện tin tức)</t>
        </is>
      </c>
      <c r="F39" s="11" t="inlineStr">
        <is>
          <t>C1</t>
        </is>
      </c>
      <c r="G39" s="10" t="inlineStr">
        <is>
          <t>Teaching media literacy in high schools empowers students to distinguish credible news from clickbait.</t>
        </is>
      </c>
      <c r="H39" s="10" t="inlineStr">
        <is>
          <t>critical media awareness, digital information literacy</t>
        </is>
      </c>
      <c r="I39" s="10" t="inlineStr">
        <is>
          <t>media gullibility, digital illiteracy</t>
        </is>
      </c>
      <c r="J39" s="10" t="inlineStr">
        <is>
          <t>improve media literacy, media literacy curriculum, lack of media literacy</t>
        </is>
      </c>
      <c r="K39" s="10" t="inlineStr">
        <is>
          <t>'Literacy' là khả năng đọc viết / năng lực hiểu biết một lĩnh vực.</t>
        </is>
      </c>
    </row>
    <row r="40" ht="42" customHeight="1">
      <c r="A40" s="2" t="inlineStr">
        <is>
          <t>Unit 7: World of Mass Media</t>
        </is>
      </c>
      <c r="B40" s="3" t="inlineStr">
        <is>
          <t>censorship</t>
        </is>
      </c>
      <c r="C40" s="4" t="inlineStr">
        <is>
          <t>noun</t>
        </is>
      </c>
      <c r="D40" s="2" t="inlineStr">
        <is>
          <t>/ˈsen.sə.ʃɪp/</t>
        </is>
      </c>
      <c r="E40" s="5" t="inlineStr">
        <is>
          <t>Sự kiểm duyệt (hành động thẩm định và cắt bỏ nội dung nhạy cảm, độc hại trong xuất bản/truyền thông)</t>
        </is>
      </c>
      <c r="F40" s="6" t="inlineStr">
        <is>
          <t>B2</t>
        </is>
      </c>
      <c r="G40" s="5" t="inlineStr">
        <is>
          <t>Online platforms face heated debates over the boundaries between content censorship and free expression.</t>
        </is>
      </c>
      <c r="H40" s="5" t="inlineStr">
        <is>
          <t>editorial control, information filtering, suppression</t>
        </is>
      </c>
      <c r="I40" s="5" t="inlineStr">
        <is>
          <t>free press, uncensored media, freedom of speech</t>
        </is>
      </c>
      <c r="J40" s="5" t="inlineStr">
        <is>
          <t>strict censorship, impose censorship, evade censorship, media censorship</t>
        </is>
      </c>
      <c r="K40" s="5" t="inlineStr">
        <is>
          <t>Động từ: 'censor' (kiểm duyệt). Người kiểm duyệt: 'censor'.</t>
        </is>
      </c>
    </row>
    <row r="41" ht="42" customHeight="1">
      <c r="A41" s="7" t="inlineStr">
        <is>
          <t>Unit 7: World of Mass Media</t>
        </is>
      </c>
      <c r="B41" s="8" t="inlineStr">
        <is>
          <t>clickbait</t>
        </is>
      </c>
      <c r="C41" s="9" t="inlineStr">
        <is>
          <t>noun</t>
        </is>
      </c>
      <c r="D41" s="7" t="inlineStr">
        <is>
          <t>/ˈklɪk.beɪt/</t>
        </is>
      </c>
      <c r="E41" s="10" t="inlineStr">
        <is>
          <t>Mồi câu nhấp chuột (tiêu đề giật gân, phóng đại nhằm lôi kéo người dùng bấm vào xem)</t>
        </is>
      </c>
      <c r="F41" s="11" t="inlineStr">
        <is>
          <t>B2</t>
        </is>
      </c>
      <c r="G41" s="10" t="inlineStr">
        <is>
          <t>Many unscrupulous websites rely on deceptive clickbait headlines to generate online advertising revenue.</t>
        </is>
      </c>
      <c r="H41" s="10" t="inlineStr">
        <is>
          <t>sensational headline, lure, trap link</t>
        </is>
      </c>
      <c r="I41" s="10" t="inlineStr">
        <is>
          <t>accurate headline, factual reporting</t>
        </is>
      </c>
      <c r="J41" s="10" t="inlineStr">
        <is>
          <t>clickbait headline, clickbait article, falling for clickbait</t>
        </is>
      </c>
      <c r="K41" s="10" t="inlineStr">
        <is>
          <t>Ghép từ 'click' (nhấp chuột) + 'bait' (mồi câu).</t>
        </is>
      </c>
    </row>
    <row r="42" ht="42" customHeight="1">
      <c r="A42" s="2" t="inlineStr">
        <is>
          <t>Unit 7: World of Mass Media</t>
        </is>
      </c>
      <c r="B42" s="3" t="inlineStr">
        <is>
          <t>sensationalism</t>
        </is>
      </c>
      <c r="C42" s="4" t="inlineStr">
        <is>
          <t>noun</t>
        </is>
      </c>
      <c r="D42" s="2" t="inlineStr">
        <is>
          <t>/senˈseɪ.ʃən.əl.ɪ.zəm/</t>
        </is>
      </c>
      <c r="E42" s="5" t="inlineStr">
        <is>
          <t>Khuynh hướng giật gân (thủ pháp thổi phồng scandal, bạo lực để câu khách trên báo chí)</t>
        </is>
      </c>
      <c r="F42" s="6" t="inlineStr">
        <is>
          <t>C1</t>
        </is>
      </c>
      <c r="G42" s="5" t="inlineStr">
        <is>
          <t>Serious journalists criticize tabloids for prioritizing cheap sensationalism over journalistic integrity.</t>
        </is>
      </c>
      <c r="H42" s="5" t="inlineStr">
        <is>
          <t>yellow journalism, melodrama, exaggeration</t>
        </is>
      </c>
      <c r="I42" s="5" t="inlineStr">
        <is>
          <t>objective journalism, factual accuracy</t>
        </is>
      </c>
      <c r="J42" s="5" t="inlineStr">
        <is>
          <t>media sensationalism, resort to sensationalism, accused of sensationalism</t>
        </is>
      </c>
      <c r="K42" s="5" t="inlineStr">
        <is>
          <t>Tính từ: 'sensational' (giật gân, gây chấn động).</t>
        </is>
      </c>
    </row>
    <row r="43" ht="42" customHeight="1">
      <c r="A43" s="7" t="inlineStr">
        <is>
          <t>Unit 7: World of Mass Media</t>
        </is>
      </c>
      <c r="B43" s="8" t="inlineStr">
        <is>
          <t>credible source</t>
        </is>
      </c>
      <c r="C43" s="9" t="inlineStr">
        <is>
          <t>noun phrase</t>
        </is>
      </c>
      <c r="D43" s="7" t="inlineStr">
        <is>
          <t>/ˈkred.ə.bəl sɔːs/</t>
        </is>
      </c>
      <c r="E43" s="10" t="inlineStr">
        <is>
          <t>Nguồn thông tin đáng tin cậy, có căn cứ khoa học hoặc chứng thực rõ ràng</t>
        </is>
      </c>
      <c r="F43" s="11" t="inlineStr">
        <is>
          <t>B2</t>
        </is>
      </c>
      <c r="G43" s="10" t="inlineStr">
        <is>
          <t>Students must cite credible sources from peer-reviewed journals when writing research papers.</t>
        </is>
      </c>
      <c r="H43" s="10" t="inlineStr">
        <is>
          <t>reliable source, trustworthy authority, verified reference</t>
        </is>
      </c>
      <c r="I43" s="10" t="inlineStr">
        <is>
          <t>unreliable source, questionable rumor, dubious blog</t>
        </is>
      </c>
      <c r="J43" s="10" t="inlineStr">
        <is>
          <t>cite credible sources, verify a credible source, reliable and credible source</t>
        </is>
      </c>
      <c r="K43" s="10" t="inlineStr">
        <is>
          <t>Danh từ: 'credibility' (sự uy tín, độ tin cậy).</t>
        </is>
      </c>
    </row>
    <row r="44" ht="42" customHeight="1">
      <c r="A44" s="2" t="inlineStr">
        <is>
          <t>Unit 8: Wildlife Conservation</t>
        </is>
      </c>
      <c r="B44" s="3" t="inlineStr">
        <is>
          <t>poaching</t>
        </is>
      </c>
      <c r="C44" s="4" t="inlineStr">
        <is>
          <t>noun</t>
        </is>
      </c>
      <c r="D44" s="2" t="inlineStr">
        <is>
          <t>/ˈpəʊ.tʃɪŋ/</t>
        </is>
      </c>
      <c r="E44" s="5" t="inlineStr">
        <is>
          <t>Nạn săn bắt trộm động vật quý hiếm trái phép</t>
        </is>
      </c>
      <c r="F44" s="6" t="inlineStr">
        <is>
          <t>B2</t>
        </is>
      </c>
      <c r="G44" s="5" t="inlineStr">
        <is>
          <t>Rangers in national parks risk their lives daily on anti-poaching patrols to save wild rhinos.</t>
        </is>
      </c>
      <c r="H44" s="5" t="inlineStr">
        <is>
          <t>illegal hunting, wildlife trafficking, illicit game capture</t>
        </is>
      </c>
      <c r="I44" s="5" t="inlineStr">
        <is>
          <t>wildlife protection, legal hunting</t>
        </is>
      </c>
      <c r="J44" s="5" t="inlineStr">
        <is>
          <t>anti-poaching patrol, combat poaching, rampant poaching, victims of poaching</t>
        </is>
      </c>
      <c r="K44" s="5" t="inlineStr">
        <is>
          <t>Kẻ săn trộm là 'poacher'. Động từ: 'poach'.</t>
        </is>
      </c>
    </row>
    <row r="45" ht="42" customHeight="1">
      <c r="A45" s="7" t="inlineStr">
        <is>
          <t>Unit 8: Wildlife Conservation</t>
        </is>
      </c>
      <c r="B45" s="8" t="inlineStr">
        <is>
          <t>habitat fragmentation</t>
        </is>
      </c>
      <c r="C45" s="9" t="inlineStr">
        <is>
          <t>noun phrase</t>
        </is>
      </c>
      <c r="D45" s="7" t="inlineStr">
        <is>
          <t>/ˈhæb.ɪ.tæt ˌfræɡ.menˈteɪ.ʃən/</t>
        </is>
      </c>
      <c r="E45" s="10" t="inlineStr">
        <is>
          <t>Sự phân mảnh sinh cảnh (môi trường sống bị chia cắt thành từng mảnh nhỏ do đường sá, đô thị)</t>
        </is>
      </c>
      <c r="F45" s="11" t="inlineStr">
        <is>
          <t>C1</t>
        </is>
      </c>
      <c r="G45" s="10" t="inlineStr">
        <is>
          <t>Highway construction across virgin forests causes severe habitat fragmentation, isolating animal herds.</t>
        </is>
      </c>
      <c r="H45" s="10" t="inlineStr">
        <is>
          <t>habitat division, ecological fracturing</t>
        </is>
      </c>
      <c r="I45" s="10" t="inlineStr">
        <is>
          <t>habitat connectivity, ecological corridor</t>
        </is>
      </c>
      <c r="J45" s="10" t="inlineStr">
        <is>
          <t>cause habitat fragmentation, reduce habitat fragmentation, threat of fragmentation</t>
        </is>
      </c>
      <c r="K45" s="10" t="inlineStr">
        <is>
          <t>Động từ: 'fragment' (phân mảnh). Danh từ: 'fragment' (mảnh vỡ).</t>
        </is>
      </c>
    </row>
    <row r="46" ht="42" customHeight="1">
      <c r="A46" s="2" t="inlineStr">
        <is>
          <t>Unit 8: Wildlife Conservation</t>
        </is>
      </c>
      <c r="B46" s="3" t="inlineStr">
        <is>
          <t>critically endangered</t>
        </is>
      </c>
      <c r="C46" s="4" t="inlineStr">
        <is>
          <t>adjective phrase</t>
        </is>
      </c>
      <c r="D46" s="2" t="inlineStr">
        <is>
          <t>/ˈkrɪt.ɪ.kəl.i ɪnˈdeɪn.dʒəd/</t>
        </is>
      </c>
      <c r="E46" s="5" t="inlineStr">
        <is>
          <t>Cực kỳ nguy cấp, đứng trước bờ vực tuyệt chủng cao nhất trong tự nhiên</t>
        </is>
      </c>
      <c r="F46" s="6" t="inlineStr">
        <is>
          <t>B2</t>
        </is>
      </c>
      <c r="G46" s="5" t="inlineStr">
        <is>
          <t>The Delacour's langur in Van Long Wetland Nature Reserve is listed as critically endangered.</t>
        </is>
      </c>
      <c r="H46" s="5" t="inlineStr">
        <is>
          <t>on the verge of extinction, severely threatened, facing extinction</t>
        </is>
      </c>
      <c r="I46" s="5" t="inlineStr">
        <is>
          <t>abundant, thriving, least concern</t>
        </is>
      </c>
      <c r="J46" s="5" t="inlineStr">
        <is>
          <t>critically endangered species, critically endangered animal, red list status</t>
        </is>
      </c>
      <c r="K46" s="5" t="inlineStr">
        <is>
          <t>Cấp độ bảo tồn cao nhất của IUCN trước khi bị tuyên bố tuyệt chủng (Extinct in the Wild).</t>
        </is>
      </c>
    </row>
    <row r="47" ht="42" customHeight="1">
      <c r="A47" s="7" t="inlineStr">
        <is>
          <t>Unit 8: Wildlife Conservation</t>
        </is>
      </c>
      <c r="B47" s="8" t="inlineStr">
        <is>
          <t>biodiversity hotspot</t>
        </is>
      </c>
      <c r="C47" s="9" t="inlineStr">
        <is>
          <t>noun phrase</t>
        </is>
      </c>
      <c r="D47" s="7" t="inlineStr">
        <is>
          <t>/ˌbaɪ.əʊ.daɪˈvɜː.sə.ti ˈhɒt.spɒt/</t>
        </is>
      </c>
      <c r="E47" s="10" t="inlineStr">
        <is>
          <t>Điểm nóng đa dạng sinh học (vùng địa lý có độ đa dạng loài cực cao nhưng đang bị đe dọa nghiêm trọng)</t>
        </is>
      </c>
      <c r="F47" s="11" t="inlineStr">
        <is>
          <t>C1</t>
        </is>
      </c>
      <c r="G47" s="10" t="inlineStr">
        <is>
          <t>The Annamite Range in Vietnam is recognized globally as a vital biodiversity hotspot harboring unique endemic species.</t>
        </is>
      </c>
      <c r="H47" s="10" t="inlineStr">
        <is>
          <t>ecological treasure trove, vital bio-region</t>
        </is>
      </c>
      <c r="I47" s="10" t="inlineStr">
        <is>
          <t>ecological desert, degraded wasteland</t>
        </is>
      </c>
      <c r="J47" s="10" t="inlineStr">
        <is>
          <t>global biodiversity hotspot, designate a biodiversity hotspot, preserve hotspots</t>
        </is>
      </c>
      <c r="K47" s="10" t="inlineStr">
        <is>
          <t>Thế giới có khoảng 36 điểm nóng đa dạng sinh học trọng điểm.</t>
        </is>
      </c>
    </row>
    <row r="48" ht="42" customHeight="1">
      <c r="A48" s="2" t="inlineStr">
        <is>
          <t>Unit 8: Wildlife Conservation</t>
        </is>
      </c>
      <c r="B48" s="3" t="inlineStr">
        <is>
          <t>in captivity</t>
        </is>
      </c>
      <c r="C48" s="4" t="inlineStr">
        <is>
          <t>prepositional phrase</t>
        </is>
      </c>
      <c r="D48" s="2" t="inlineStr">
        <is>
          <t>/ɪn kæpˈtɪv.ə.ti/</t>
        </is>
      </c>
      <c r="E48" s="5" t="inlineStr">
        <is>
          <t>Trong môi trường nuôi nhốt (trong vườn thú, trung tâm cứu hộ bảo tồn)</t>
        </is>
      </c>
      <c r="F48" s="6" t="inlineStr">
        <is>
          <t>B2</t>
        </is>
      </c>
      <c r="G48" s="5" t="inlineStr">
        <is>
          <t>Breeding giant pandas in captivity has succeeded in pulling the iconic species back from extinction.</t>
        </is>
      </c>
      <c r="H48" s="5" t="inlineStr">
        <is>
          <t>in confinement, caged, zoo-bred</t>
        </is>
      </c>
      <c r="I48" s="5" t="inlineStr">
        <is>
          <t>in the wild, free-roaming, natural habitat</t>
        </is>
      </c>
      <c r="J48" s="5" t="inlineStr">
        <is>
          <t>breed in captivity, held in captivity, born in captivity</t>
        </is>
      </c>
      <c r="K48" s="5" t="inlineStr">
        <is>
          <t>Trái nghĩa với 'in the wild' (ngoài tự nhiên).</t>
        </is>
      </c>
    </row>
    <row r="49" ht="42" customHeight="1">
      <c r="A49" s="7" t="inlineStr">
        <is>
          <t>Unit 8: Wildlife Conservation</t>
        </is>
      </c>
      <c r="B49" s="8" t="inlineStr">
        <is>
          <t>reintroduce</t>
        </is>
      </c>
      <c r="C49" s="9" t="inlineStr">
        <is>
          <t>verb</t>
        </is>
      </c>
      <c r="D49" s="7" t="inlineStr">
        <is>
          <t>/ˌriː.ɪn.trəˈdjuːs/</t>
        </is>
      </c>
      <c r="E49" s="10" t="inlineStr">
        <is>
          <t>Tái thả, đưa một loài động thực vật trở lại sinh sống trong môi trường tự nhiên bản địa</t>
        </is>
      </c>
      <c r="F49" s="11" t="inlineStr">
        <is>
          <t>B2</t>
        </is>
      </c>
      <c r="G49" s="10" t="inlineStr">
        <is>
          <t>Scientists successfully reintroduced rescued pangolins back into protected national parks.</t>
        </is>
      </c>
      <c r="H49" s="10" t="inlineStr">
        <is>
          <t>release back, restore, re-establish</t>
        </is>
      </c>
      <c r="I49" s="10" t="inlineStr">
        <is>
          <t>capture, remove, eradicate</t>
        </is>
      </c>
      <c r="J49" s="10" t="inlineStr">
        <is>
          <t>reintroduce into the wild, reintroduce native species, reintroduction program</t>
        </is>
      </c>
      <c r="K49" s="10" t="inlineStr">
        <is>
          <t>Danh từ: 'reintroduction' (reintroduction program = chương trình tái thả động vật).</t>
        </is>
      </c>
    </row>
    <row r="50" ht="42" customHeight="1">
      <c r="A50" s="2" t="inlineStr">
        <is>
          <t>Unit 9: Career Paths</t>
        </is>
      </c>
      <c r="B50" s="3" t="inlineStr">
        <is>
          <t>curriculum vitae</t>
        </is>
      </c>
      <c r="C50" s="4" t="inlineStr">
        <is>
          <t>noun phrase</t>
        </is>
      </c>
      <c r="D50" s="2" t="inlineStr">
        <is>
          <t>/kəˌrɪk.jə.ləm ˈviː.taɪ/</t>
        </is>
      </c>
      <c r="E50" s="5" t="inlineStr">
        <is>
          <t>Sơ yếu lý lịch nghề nghiệp, hồ sơ năng lực cá nhân xin việc (viết tắt CV)</t>
        </is>
      </c>
      <c r="F50" s="6" t="inlineStr">
        <is>
          <t>B2</t>
        </is>
      </c>
      <c r="G50" s="5" t="inlineStr">
        <is>
          <t>Ensure your curriculum vitae is professionally formatted and highlights relevant internship experience.</t>
        </is>
      </c>
      <c r="H50" s="5" t="inlineStr">
        <is>
          <t>CV, resume, professional portfolio</t>
        </is>
      </c>
      <c r="I50" s="5" t="inlineStr">
        <is>
          <t>N/A</t>
        </is>
      </c>
      <c r="J50" s="5" t="inlineStr">
        <is>
          <t>submit a curriculum vitae, polish your CV, tailor your curriculum vitae</t>
        </is>
      </c>
      <c r="K50" s="5" t="inlineStr">
        <is>
          <t>Gốc Latin: 'dòng chảy cuộc đời'. Tiếng Anh-Mỹ thường dùng từ 'resume' /ˈrez.juː.meɪ/.</t>
        </is>
      </c>
    </row>
    <row r="51" ht="42" customHeight="1">
      <c r="A51" s="7" t="inlineStr">
        <is>
          <t>Unit 9: Career Paths</t>
        </is>
      </c>
      <c r="B51" s="8" t="inlineStr">
        <is>
          <t>probationary period</t>
        </is>
      </c>
      <c r="C51" s="9" t="inlineStr">
        <is>
          <t>noun phrase</t>
        </is>
      </c>
      <c r="D51" s="7" t="inlineStr">
        <is>
          <t>/prəˈbeɪ.ʃən.ər.i ˌpɪə.ri.əd/</t>
        </is>
      </c>
      <c r="E51" s="10" t="inlineStr">
        <is>
          <t>Thời gian thử việc (thời gian làm thử để đánh giá năng lực trước khi ký hợp đồng chính thức)</t>
        </is>
      </c>
      <c r="F51" s="11" t="inlineStr">
        <is>
          <t>C1</t>
        </is>
      </c>
      <c r="G51" s="10" t="inlineStr">
        <is>
          <t>New recruits must pass a rigorous two-month probationary period before receiving full company benefits.</t>
        </is>
      </c>
      <c r="H51" s="10" t="inlineStr">
        <is>
          <t>trial period, probation phase, evaluation stage</t>
        </is>
      </c>
      <c r="I51" s="10" t="inlineStr">
        <is>
          <t>permanent tenure, regular employment</t>
        </is>
      </c>
      <c r="J51" s="10" t="inlineStr">
        <is>
          <t>pass the probationary period, serve a probationary period, 3-month probation</t>
        </is>
      </c>
      <c r="K51" s="10" t="inlineStr">
        <is>
          <t>'Probation' là thời gian thử việc hoặc quản chế.</t>
        </is>
      </c>
    </row>
    <row r="52" ht="42" customHeight="1">
      <c r="A52" s="2" t="inlineStr">
        <is>
          <t>Unit 9: Career Paths</t>
        </is>
      </c>
      <c r="B52" s="3" t="inlineStr">
        <is>
          <t>transferable skills</t>
        </is>
      </c>
      <c r="C52" s="4" t="inlineStr">
        <is>
          <t>noun phrase</t>
        </is>
      </c>
      <c r="D52" s="2" t="inlineStr">
        <is>
          <t>/trænsˈfɜː.rə.bəl skɪlz/</t>
        </is>
      </c>
      <c r="E52" s="5" t="inlineStr">
        <is>
          <t>Kỹ năng chuyển giao (kỹ năng mềm như giao tiếp, đàm phán, giải quyết vấn đề áp dụng được cho mọi ngành nghề)</t>
        </is>
      </c>
      <c r="F52" s="6" t="inlineStr">
        <is>
          <t>B2</t>
        </is>
      </c>
      <c r="G52" s="5" t="inlineStr">
        <is>
          <t>Leadership, teamwork, and critical problem-solving are valuable transferable skills sought by all employers.</t>
        </is>
      </c>
      <c r="H52" s="5" t="inlineStr">
        <is>
          <t>portable skills, universal competencies, soft skills</t>
        </is>
      </c>
      <c r="I52" s="5" t="inlineStr">
        <is>
          <t>niche technical skills, job-specific skills</t>
        </is>
      </c>
      <c r="J52" s="5" t="inlineStr">
        <is>
          <t>develop transferable skills, acquire transferable skills, possess transferable skills</t>
        </is>
      </c>
      <c r="K52" s="5" t="inlineStr">
        <is>
          <t>Tính từ: 'transferable' (có thể chuyển giao/mang theo được).</t>
        </is>
      </c>
    </row>
    <row r="53" ht="42" customHeight="1">
      <c r="A53" s="7" t="inlineStr">
        <is>
          <t>Unit 9: Career Paths</t>
        </is>
      </c>
      <c r="B53" s="8" t="inlineStr">
        <is>
          <t>lucrative</t>
        </is>
      </c>
      <c r="C53" s="9" t="inlineStr">
        <is>
          <t>adjective</t>
        </is>
      </c>
      <c r="D53" s="7" t="inlineStr">
        <is>
          <t>/ˈluː.krə.tɪv/</t>
        </is>
      </c>
      <c r="E53" s="10" t="inlineStr">
        <is>
          <t>Béo bở, sinh lợi cao, mang lại thu nhập lớn</t>
        </is>
      </c>
      <c r="F53" s="11" t="inlineStr">
        <is>
          <t>C1</t>
        </is>
      </c>
      <c r="G53" s="10" t="inlineStr">
        <is>
          <t>Artificial intelligence engineering is currently one of the most lucrative careers in the technology sector.</t>
        </is>
      </c>
      <c r="H53" s="10" t="inlineStr">
        <is>
          <t>profitable, highly-paying, remunerative, rewarding</t>
        </is>
      </c>
      <c r="I53" s="10" t="inlineStr">
        <is>
          <t>unprofitable, low-paying, poorly rewarded</t>
        </is>
      </c>
      <c r="J53" s="10" t="inlineStr">
        <is>
          <t>lucrative career, lucrative business contract, lucrative market</t>
        </is>
      </c>
      <c r="K53" s="10" t="inlineStr">
        <is>
          <t>Trọng âm 1: LU-cra-tive. Từ vựng ăn điểm cao trong bài thi Viết.</t>
        </is>
      </c>
    </row>
    <row r="54" ht="42" customHeight="1">
      <c r="A54" s="2" t="inlineStr">
        <is>
          <t>Unit 9: Career Paths</t>
        </is>
      </c>
      <c r="B54" s="3" t="inlineStr">
        <is>
          <t>career progression</t>
        </is>
      </c>
      <c r="C54" s="4" t="inlineStr">
        <is>
          <t>noun phrase</t>
        </is>
      </c>
      <c r="D54" s="2" t="inlineStr">
        <is>
          <t>/kəˈrɪər prəˌɡreʃ.ən/</t>
        </is>
      </c>
      <c r="E54" s="5" t="inlineStr">
        <is>
          <t>Sự thăng tiến trong sự nghiệp, lộ trình phát triển vị trí nghề nghiệp</t>
        </is>
      </c>
      <c r="F54" s="6" t="inlineStr">
        <is>
          <t>B2</t>
        </is>
      </c>
      <c r="G54" s="5" t="inlineStr">
        <is>
          <t>Ambitious young professionals look for companies that offer clear opportunities for career progression.</t>
        </is>
      </c>
      <c r="H54" s="5" t="inlineStr">
        <is>
          <t>career advancement, professional promotion, upward mobility</t>
        </is>
      </c>
      <c r="I54" s="5" t="inlineStr">
        <is>
          <t>career stagnation, dead-end job</t>
        </is>
      </c>
      <c r="J54" s="5" t="inlineStr">
        <is>
          <t>opportunities for career progression, rapid career progression, career progression ladder</t>
        </is>
      </c>
      <c r="K54" s="5" t="inlineStr">
        <is>
          <t>Đồng nghĩa với 'career advancement'.</t>
        </is>
      </c>
    </row>
    <row r="55" ht="42" customHeight="1">
      <c r="A55" s="7" t="inlineStr">
        <is>
          <t>Unit 9: Career Paths</t>
        </is>
      </c>
      <c r="B55" s="8" t="inlineStr">
        <is>
          <t>vocational guidance</t>
        </is>
      </c>
      <c r="C55" s="9" t="inlineStr">
        <is>
          <t>noun phrase</t>
        </is>
      </c>
      <c r="D55" s="7" t="inlineStr">
        <is>
          <t>/vəʊˈkeɪ.ʃən.əl ˈɡaɪ.dəns/</t>
        </is>
      </c>
      <c r="E55" s="10" t="inlineStr">
        <is>
          <t>Hướng nghiệp (sự tư vấn định hướng ngành nghề phù hợp năng lực học sinh)</t>
        </is>
      </c>
      <c r="F55" s="11" t="inlineStr">
        <is>
          <t>B2</t>
        </is>
      </c>
      <c r="G55" s="10" t="inlineStr">
        <is>
          <t>High schools should provide professional vocational guidance to help Grade 12 students make informed university choices.</t>
        </is>
      </c>
      <c r="H55" s="10" t="inlineStr">
        <is>
          <t>career counseling, occupational advising</t>
        </is>
      </c>
      <c r="I55" s="10" t="inlineStr">
        <is>
          <t>N/A</t>
        </is>
      </c>
      <c r="J55" s="10" t="inlineStr">
        <is>
          <t>seek vocational guidance, vocational guidance counselor, effective vocational guidance</t>
        </is>
      </c>
      <c r="K55" s="10" t="inlineStr">
        <is>
          <t>Vocation (nghề nghiệp) + guidance (sự chỉ dẫn).</t>
        </is>
      </c>
    </row>
    <row r="56" ht="42" customHeight="1">
      <c r="A56" s="2" t="inlineStr">
        <is>
          <t>Unit 10: Lifelong Learning</t>
        </is>
      </c>
      <c r="B56" s="3" t="inlineStr">
        <is>
          <t>lifelong learning</t>
        </is>
      </c>
      <c r="C56" s="4" t="inlineStr">
        <is>
          <t>noun phrase</t>
        </is>
      </c>
      <c r="D56" s="2" t="inlineStr">
        <is>
          <t>/ˌlaɪf.lɒŋ ˈlɜː.nɪŋ/</t>
        </is>
      </c>
      <c r="E56" s="5" t="inlineStr">
        <is>
          <t>Học tập suốt đời (tinh thần liên tục trau dồi tri thức và hoàn thiện bản thân trong suốt cuộc đời)</t>
        </is>
      </c>
      <c r="F56" s="6" t="inlineStr">
        <is>
          <t>B2</t>
        </is>
      </c>
      <c r="G56" s="5" t="inlineStr">
        <is>
          <t>In an era of relentless technological disruption, lifelong learning is the key to maintaining professional relevance.</t>
        </is>
      </c>
      <c r="H56" s="5" t="inlineStr">
        <is>
          <t>continuous education, ongoing self-development, perpetual learning</t>
        </is>
      </c>
      <c r="I56" s="5" t="inlineStr">
        <is>
          <t>intellectual stagnation</t>
        </is>
      </c>
      <c r="J56" s="5" t="inlineStr">
        <is>
          <t>commit to lifelong learning, lifelong learning mindset, cultivate lifelong learning</t>
        </is>
      </c>
      <c r="K56" s="5" t="inlineStr">
        <is>
          <t>Chủ đề đinh của Unit 10 lớp 12, thường xuyên ra trong đề thi Đọc hiểu và Viết luận.</t>
        </is>
      </c>
    </row>
    <row r="57" ht="42" customHeight="1">
      <c r="A57" s="7" t="inlineStr">
        <is>
          <t>Unit 10: Lifelong Learning</t>
        </is>
      </c>
      <c r="B57" s="8" t="inlineStr">
        <is>
          <t>autonomous learner</t>
        </is>
      </c>
      <c r="C57" s="9" t="inlineStr">
        <is>
          <t>noun phrase</t>
        </is>
      </c>
      <c r="D57" s="7" t="inlineStr">
        <is>
          <t>/ɔːˈtɒn.ə.məs ˈlɜː.nər/</t>
        </is>
      </c>
      <c r="E57" s="10" t="inlineStr">
        <is>
          <t>Người học tự chủ (người có khả năng tự đặt mục tiêu, tìm tài liệu và tự đánh giá kết quả học tập)</t>
        </is>
      </c>
      <c r="F57" s="11" t="inlineStr">
        <is>
          <t>C1</t>
        </is>
      </c>
      <c r="G57" s="10" t="inlineStr">
        <is>
          <t>Successful university students are autonomous learners who proactively seek knowledge beyond lectures.</t>
        </is>
      </c>
      <c r="H57" s="10" t="inlineStr">
        <is>
          <t>independent learner, self-directed student</t>
        </is>
      </c>
      <c r="I57" s="10" t="inlineStr">
        <is>
          <t>passive learner, spoon-fed student</t>
        </is>
      </c>
      <c r="J57" s="10" t="inlineStr">
        <is>
          <t>become an autonomous learner, foster autonomous learners, autonomous learning habits</t>
        </is>
      </c>
      <c r="K57" s="10" t="inlineStr">
        <is>
          <t>Danh từ: 'learner autonomy' (tính tự chủ trong học tập).</t>
        </is>
      </c>
    </row>
    <row r="58" ht="42" customHeight="1">
      <c r="A58" s="2" t="inlineStr">
        <is>
          <t>Unit 10: Lifelong Learning</t>
        </is>
      </c>
      <c r="B58" s="3" t="inlineStr">
        <is>
          <t>distance learning</t>
        </is>
      </c>
      <c r="C58" s="4" t="inlineStr">
        <is>
          <t>noun phrase</t>
        </is>
      </c>
      <c r="D58" s="2" t="inlineStr">
        <is>
          <t>/ˌdɪs.təns ˈlɜː.nɪŋ/</t>
        </is>
      </c>
      <c r="E58" s="5" t="inlineStr">
        <is>
          <t>Đào tạo từ xa (hình thức học qua mạng mà không cần đến trường trực tiếp)</t>
        </is>
      </c>
      <c r="F58" s="6" t="inlineStr">
        <is>
          <t>B1</t>
        </is>
      </c>
      <c r="G58" s="5" t="inlineStr">
        <is>
          <t>Distance learning courses enable working adults to obtain accredited master's degrees flexibly.</t>
        </is>
      </c>
      <c r="H58" s="5" t="inlineStr">
        <is>
          <t>e-learning, online education, remote study</t>
        </is>
      </c>
      <c r="I58" s="5" t="inlineStr">
        <is>
          <t>in-person education, on-campus study</t>
        </is>
      </c>
      <c r="J58" s="5" t="inlineStr">
        <is>
          <t>enroll in distance learning, distance learning degree, distance learning platform</t>
        </is>
      </c>
      <c r="K58" s="5" t="inlineStr">
        <is>
          <t>Rất phổ biến trong thời kỳ chuyển đổi số giáo dục.</t>
        </is>
      </c>
    </row>
    <row r="59" ht="42" customHeight="1">
      <c r="A59" s="7" t="inlineStr">
        <is>
          <t>Unit 10: Lifelong Learning</t>
        </is>
      </c>
      <c r="B59" s="8" t="inlineStr">
        <is>
          <t>broaden horizons</t>
        </is>
      </c>
      <c r="C59" s="9" t="inlineStr">
        <is>
          <t>verb phrase</t>
        </is>
      </c>
      <c r="D59" s="7" t="inlineStr">
        <is>
          <t>/ˈbrɔː.dən həˈraɪ.zənz/</t>
        </is>
      </c>
      <c r="E59" s="10" t="inlineStr">
        <is>
          <t>Mở rộng tầm mắt, mở mang chân trời tri thức và thế giới quan</t>
        </is>
      </c>
      <c r="F59" s="11" t="inlineStr">
        <is>
          <t>B2</t>
        </is>
      </c>
      <c r="G59" s="10" t="inlineStr">
        <is>
          <t>Studying abroad and mastering foreign languages significantly broaden students' cultural horizons.</t>
        </is>
      </c>
      <c r="H59" s="10" t="inlineStr">
        <is>
          <t>expand worldview, widen perspective, enrich knowledge</t>
        </is>
      </c>
      <c r="I59" s="10" t="inlineStr">
        <is>
          <t>narrow one's mind, limit perspective</t>
        </is>
      </c>
      <c r="J59" s="10" t="inlineStr">
        <is>
          <t>broaden one's horizons, broaden intellectual horizons, travel to broaden horizons</t>
        </is>
      </c>
      <c r="K59" s="10" t="inlineStr">
        <is>
          <t>Thành ngữ rất phổ biến trong đề thi học sinh giỏi và thi tốt nghiệp THPT.</t>
        </is>
      </c>
    </row>
    <row r="60" ht="42" customHeight="1">
      <c r="A60" s="2" t="inlineStr">
        <is>
          <t>Unit 10: Lifelong Learning</t>
        </is>
      </c>
      <c r="B60" s="3" t="inlineStr">
        <is>
          <t>self-discipline</t>
        </is>
      </c>
      <c r="C60" s="4" t="inlineStr">
        <is>
          <t>noun</t>
        </is>
      </c>
      <c r="D60" s="2" t="inlineStr">
        <is>
          <t>/ˌselfˈdɪs.ə.plɪn/</t>
        </is>
      </c>
      <c r="E60" s="5" t="inlineStr">
        <is>
          <t>Tính kỷ luật tự giác, năng lực tự kiểm soát hành vi và kiên định theo đuổi mục tiêu</t>
        </is>
      </c>
      <c r="F60" s="6" t="inlineStr">
        <is>
          <t>B2</t>
        </is>
      </c>
      <c r="G60" s="5" t="inlineStr">
        <is>
          <t>Online learning requires strong self-discipline to avoid distractions and submit assignments on time.</t>
        </is>
      </c>
      <c r="H60" s="5" t="inlineStr">
        <is>
          <t>self-control, willpower, self-restraint, determination</t>
        </is>
      </c>
      <c r="I60" s="5" t="inlineStr">
        <is>
          <t>indiscipline, self-indulgence, procrastination</t>
        </is>
      </c>
      <c r="J60" s="5" t="inlineStr">
        <is>
          <t>exercise self-discipline, lack self-discipline, strict self-discipline</t>
        </is>
      </c>
      <c r="K60" s="5" t="inlineStr">
        <is>
          <t>Tính từ: 'self-disciplined' (có tính kỷ luật tự giác cao).</t>
        </is>
      </c>
    </row>
    <row r="61" ht="42" customHeight="1">
      <c r="A61" s="7" t="inlineStr">
        <is>
          <t>Unit 10: Lifelong Learning</t>
        </is>
      </c>
      <c r="B61" s="8" t="inlineStr">
        <is>
          <t>critical thinking</t>
        </is>
      </c>
      <c r="C61" s="9" t="inlineStr">
        <is>
          <t>noun phrase</t>
        </is>
      </c>
      <c r="D61" s="7" t="inlineStr">
        <is>
          <t>/ˌkrɪt.ɪ.kəl ˈθɪŋ.kɪŋ/</t>
        </is>
      </c>
      <c r="E61" s="10" t="inlineStr">
        <is>
          <t>Tư duy phản biện (năng lực phân tích, đánh giá thông tin một cách khách quan và logic)</t>
        </is>
      </c>
      <c r="F61" s="11" t="inlineStr">
        <is>
          <t>B2</t>
        </is>
      </c>
      <c r="G61" s="10" t="inlineStr">
        <is>
          <t>Higher education places a heavy emphasis on developing students' critical thinking and analytical reasoning.</t>
        </is>
      </c>
      <c r="H61" s="10" t="inlineStr">
        <is>
          <t>analytical thinking, rational inquiry, objective reasoning</t>
        </is>
      </c>
      <c r="I61" s="10" t="inlineStr">
        <is>
          <t>blind acceptance, irrational belief</t>
        </is>
      </c>
      <c r="J61" s="10" t="inlineStr">
        <is>
          <t>develop critical thinking, critical thinking skills, foster critical thinking</t>
        </is>
      </c>
      <c r="K61" s="10" t="inlineStr">
        <is>
          <t>Kỹ năng thế kỷ 21 hàng đầu dành cho học sinh chuẩn bị vào đại học.</t>
        </is>
      </c>
    </row>
  </sheetData>
  <autoFilter ref="A1:K61"/>
  <dataValidations count="1">
    <dataValidation sqref="F2:F61" showDropDown="0" showInputMessage="0" showErrorMessage="0" allowBlank="1" type="list">
      <formula1>"B1,B2,C1,C2"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showGridLines="1" workbookViewId="0">
      <selection activeCell="A1" sqref="A1"/>
    </sheetView>
  </sheetViews>
  <sheetFormatPr baseColWidth="8" defaultRowHeight="15"/>
  <cols>
    <col width="30" customWidth="1" min="1" max="1"/>
    <col width="15" customWidth="1" min="2" max="2"/>
    <col width="14" customWidth="1" min="3" max="3"/>
    <col width="20" customWidth="1" min="4" max="4"/>
    <col width="6" customWidth="1" min="5" max="5"/>
    <col width="16" customWidth="1" min="6" max="6"/>
    <col width="14" customWidth="1" min="7" max="7"/>
    <col width="14" customWidth="1" min="8" max="8"/>
    <col width="26" customWidth="1" min="9" max="9"/>
  </cols>
  <sheetData>
    <row r="1" ht="32" customHeight="1">
      <c r="A1" s="12" t="inlineStr">
        <is>
          <t>TỔNG HỢP VÀ PHÂN TÍCH TỪ VỰNG TIẾNG ANH LỚP 12</t>
        </is>
      </c>
    </row>
    <row r="2" ht="20" customHeight="1">
      <c r="A2" s="13" t="inlineStr">
        <is>
          <t>Hệ thống từ vựng học thuật chuẩn hóa 10 Unit GDPT 2018 (Global Success, Friends Global, Bright, i-Learn Smart World) phục vụ ôn thi Tốt nghiệp THPT, ĐGNL &amp; IELTS</t>
        </is>
      </c>
    </row>
    <row r="4" ht="18" customHeight="1">
      <c r="B4" s="14" t="inlineStr">
        <is>
          <t>TỔNG SỐ TỪ VỰNG</t>
        </is>
      </c>
      <c r="C4" s="15" t="n"/>
      <c r="D4" s="14" t="inlineStr">
        <is>
          <t>SỐ CHỦ ĐỀ (UNITS)</t>
        </is>
      </c>
      <c r="E4" s="15" t="n"/>
      <c r="F4" s="14" t="inlineStr">
        <is>
          <t>TRÌNH ĐỘ B2 (UPPER-INTER)</t>
        </is>
      </c>
      <c r="G4" s="15" t="n"/>
      <c r="H4" s="14" t="inlineStr">
        <is>
          <t>TRÌNH ĐỘ C1 (ADVANCED)</t>
        </is>
      </c>
      <c r="I4" s="15" t="n"/>
    </row>
    <row r="5" ht="24" customHeight="1">
      <c r="B5" s="16">
        <f>COUNTA('Từ Vựng Tiếng Anh Lớp 12'!B2:B61)</f>
        <v/>
      </c>
      <c r="C5" s="15" t="n"/>
      <c r="D5" s="16" t="inlineStr">
        <is>
          <t>10</t>
        </is>
      </c>
      <c r="E5" s="15" t="n"/>
      <c r="F5" s="16">
        <f>COUNTIF('Từ Vựng Tiếng Anh Lớp 12'!F2:F61, "B2")</f>
        <v/>
      </c>
      <c r="G5" s="15" t="n"/>
      <c r="H5" s="16">
        <f>COUNTIF('Từ Vựng Tiếng Anh Lớp 12'!F2:F61, "C1")</f>
        <v/>
      </c>
      <c r="I5" s="15" t="n"/>
    </row>
    <row r="6" ht="18" customHeight="1">
      <c r="B6" s="15" t="n"/>
      <c r="C6" s="15" t="n"/>
      <c r="D6" s="15" t="n"/>
      <c r="E6" s="15" t="n"/>
      <c r="F6" s="15" t="n"/>
      <c r="G6" s="15" t="n"/>
      <c r="H6" s="15" t="n"/>
      <c r="I6" s="15" t="n"/>
    </row>
    <row r="8" ht="22" customHeight="1">
      <c r="A8" s="17" t="inlineStr">
        <is>
          <t>BẢNG 1: THỐNG KÊ TỪ VỰNG THEO TỪNG CHỦ ĐỀ LỚP 12</t>
        </is>
      </c>
      <c r="F8" s="17" t="inlineStr">
        <is>
          <t>BẢNG 2: PHÂN BỐ THEO TRÌNH ĐỘ CEFR</t>
        </is>
      </c>
    </row>
    <row r="9" ht="24" customHeight="1">
      <c r="A9" s="1" t="inlineStr">
        <is>
          <t>Mã &amp; Tên Chủ Đề</t>
        </is>
      </c>
      <c r="B9" s="1" t="inlineStr">
        <is>
          <t>Số Từ Vựng</t>
        </is>
      </c>
      <c r="C9" s="1" t="inlineStr">
        <is>
          <t>Tỷ Lệ (%)</t>
        </is>
      </c>
      <c r="D9" s="1" t="inlineStr">
        <is>
          <t>Cấp Độ Mục Tiêu</t>
        </is>
      </c>
      <c r="F9" s="1" t="inlineStr">
        <is>
          <t>Cấp Độ CEFR</t>
        </is>
      </c>
      <c r="G9" s="1" t="inlineStr">
        <is>
          <t>Số Từ Vựng</t>
        </is>
      </c>
      <c r="H9" s="1" t="inlineStr">
        <is>
          <t>Tỷ Lệ (%)</t>
        </is>
      </c>
    </row>
    <row r="10" ht="20" customHeight="1">
      <c r="A10" s="5" t="inlineStr">
        <is>
          <t>Unit 1: Life Stories</t>
        </is>
      </c>
      <c r="B10" s="6">
        <f>COUNTIF('Từ Vựng Tiếng Anh Lớp 12'!$A$2:$A$61, A10)</f>
        <v/>
      </c>
      <c r="C10" s="18">
        <f>B10/$B$20</f>
        <v/>
      </c>
      <c r="D10" s="4" t="inlineStr">
        <is>
          <t>B2 - C1</t>
        </is>
      </c>
      <c r="F10" s="6" t="inlineStr">
        <is>
          <t>B1</t>
        </is>
      </c>
      <c r="G10" s="6">
        <f>COUNTIF('Từ Vựng Tiếng Anh Lớp 12'!$F$2:$F$61, "B1")</f>
        <v/>
      </c>
      <c r="H10" s="18">
        <f>G10/$G$13</f>
        <v/>
      </c>
    </row>
    <row r="11" ht="20" customHeight="1">
      <c r="A11" s="10" t="inlineStr">
        <is>
          <t>Unit 2: A Multicultural World</t>
        </is>
      </c>
      <c r="B11" s="11">
        <f>COUNTIF('Từ Vựng Tiếng Anh Lớp 12'!$A$2:$A$61, A11)</f>
        <v/>
      </c>
      <c r="C11" s="19">
        <f>B11/$B$20</f>
        <v/>
      </c>
      <c r="D11" s="9" t="inlineStr">
        <is>
          <t>B2 - C1</t>
        </is>
      </c>
      <c r="F11" s="11" t="inlineStr">
        <is>
          <t>B2</t>
        </is>
      </c>
      <c r="G11" s="11">
        <f>COUNTIF('Từ Vựng Tiếng Anh Lớp 12'!$F$2:$F$61, "B2")</f>
        <v/>
      </c>
      <c r="H11" s="19">
        <f>G11/$G$13</f>
        <v/>
      </c>
    </row>
    <row r="12" ht="20" customHeight="1">
      <c r="A12" s="5" t="inlineStr">
        <is>
          <t>Unit 3: Green Living</t>
        </is>
      </c>
      <c r="B12" s="6">
        <f>COUNTIF('Từ Vựng Tiếng Anh Lớp 12'!$A$2:$A$61, A12)</f>
        <v/>
      </c>
      <c r="C12" s="18">
        <f>B12/$B$20</f>
        <v/>
      </c>
      <c r="D12" s="4" t="inlineStr">
        <is>
          <t>B1 - C1</t>
        </is>
      </c>
      <c r="F12" s="6" t="inlineStr">
        <is>
          <t>C1</t>
        </is>
      </c>
      <c r="G12" s="6">
        <f>COUNTIF('Từ Vựng Tiếng Anh Lớp 12'!$F$2:$F$61, "C1")</f>
        <v/>
      </c>
      <c r="H12" s="18">
        <f>G12/$G$13</f>
        <v/>
      </c>
    </row>
    <row r="13" ht="22" customHeight="1">
      <c r="A13" s="10" t="inlineStr">
        <is>
          <t>Unit 4: Urbanisation</t>
        </is>
      </c>
      <c r="B13" s="11">
        <f>COUNTIF('Từ Vựng Tiếng Anh Lớp 12'!$A$2:$A$61, A13)</f>
        <v/>
      </c>
      <c r="C13" s="19">
        <f>B13/$B$20</f>
        <v/>
      </c>
      <c r="D13" s="9" t="inlineStr">
        <is>
          <t>B2 - C1</t>
        </is>
      </c>
      <c r="F13" s="20" t="inlineStr">
        <is>
          <t>Tổng cộng</t>
        </is>
      </c>
      <c r="G13" s="20">
        <f>SUM(G10:G12)</f>
        <v/>
      </c>
      <c r="H13" s="21">
        <f>SUM(H10:H12)</f>
        <v/>
      </c>
    </row>
    <row r="14" ht="20" customHeight="1">
      <c r="A14" s="5" t="inlineStr">
        <is>
          <t>Unit 5: The World of Work</t>
        </is>
      </c>
      <c r="B14" s="6">
        <f>COUNTIF('Từ Vựng Tiếng Anh Lớp 12'!$A$2:$A$61, A14)</f>
        <v/>
      </c>
      <c r="C14" s="18">
        <f>B14/$B$20</f>
        <v/>
      </c>
      <c r="D14" s="4" t="inlineStr">
        <is>
          <t>B2 - C1</t>
        </is>
      </c>
    </row>
    <row r="15" ht="20" customHeight="1">
      <c r="A15" s="10" t="inlineStr">
        <is>
          <t>Unit 6: Artificial Intelligence</t>
        </is>
      </c>
      <c r="B15" s="11">
        <f>COUNTIF('Từ Vựng Tiếng Anh Lớp 12'!$A$2:$A$61, A15)</f>
        <v/>
      </c>
      <c r="C15" s="19">
        <f>B15/$B$20</f>
        <v/>
      </c>
      <c r="D15" s="9" t="inlineStr">
        <is>
          <t>B2 - C1</t>
        </is>
      </c>
    </row>
    <row r="16" ht="20" customHeight="1">
      <c r="A16" s="5" t="inlineStr">
        <is>
          <t>Unit 7: World of Mass Media</t>
        </is>
      </c>
      <c r="B16" s="6">
        <f>COUNTIF('Từ Vựng Tiếng Anh Lớp 12'!$A$2:$A$61, A16)</f>
        <v/>
      </c>
      <c r="C16" s="18">
        <f>B16/$B$20</f>
        <v/>
      </c>
      <c r="D16" s="4" t="inlineStr">
        <is>
          <t>B2 - C1</t>
        </is>
      </c>
    </row>
    <row r="17" ht="20" customHeight="1">
      <c r="A17" s="10" t="inlineStr">
        <is>
          <t>Unit 8: Wildlife Conservation</t>
        </is>
      </c>
      <c r="B17" s="11">
        <f>COUNTIF('Từ Vựng Tiếng Anh Lớp 12'!$A$2:$A$61, A17)</f>
        <v/>
      </c>
      <c r="C17" s="19">
        <f>B17/$B$20</f>
        <v/>
      </c>
      <c r="D17" s="9" t="inlineStr">
        <is>
          <t>B2 - C1</t>
        </is>
      </c>
    </row>
    <row r="18" ht="20" customHeight="1">
      <c r="A18" s="5" t="inlineStr">
        <is>
          <t>Unit 9: Career Paths</t>
        </is>
      </c>
      <c r="B18" s="6">
        <f>COUNTIF('Từ Vựng Tiếng Anh Lớp 12'!$A$2:$A$61, A18)</f>
        <v/>
      </c>
      <c r="C18" s="18">
        <f>B18/$B$20</f>
        <v/>
      </c>
      <c r="D18" s="4" t="inlineStr">
        <is>
          <t>B2 - C1</t>
        </is>
      </c>
    </row>
    <row r="19" ht="20" customHeight="1">
      <c r="A19" s="10" t="inlineStr">
        <is>
          <t>Unit 10: Lifelong Learning</t>
        </is>
      </c>
      <c r="B19" s="11">
        <f>COUNTIF('Từ Vựng Tiếng Anh Lớp 12'!$A$2:$A$61, A19)</f>
        <v/>
      </c>
      <c r="C19" s="19">
        <f>B19/$B$20</f>
        <v/>
      </c>
      <c r="D19" s="9" t="inlineStr">
        <is>
          <t>B1 - C1</t>
        </is>
      </c>
    </row>
    <row r="20" ht="22" customHeight="1">
      <c r="A20" s="22" t="inlineStr">
        <is>
          <t>Tổng cộng</t>
        </is>
      </c>
      <c r="B20" s="20">
        <f>SUM(B10:B19)</f>
        <v/>
      </c>
      <c r="C20" s="21">
        <f>SUM(C10:C19)</f>
        <v/>
      </c>
      <c r="D20" s="20" t="inlineStr">
        <is>
          <t>Toàn bộ 10 Units</t>
        </is>
      </c>
    </row>
    <row r="40">
      <c r="A40" s="17" t="inlineStr">
        <is>
          <t>CHIẾN LƯỢC ÔN TẬP TỪ VỰNG TIẾNG ANH LỚP 12 - CHINH PHỤC ĐIỂM 9-10 THPT QUỐC GIA &amp; IELTS 7.0+</t>
        </is>
      </c>
    </row>
    <row r="41">
      <c r="A41" s="23" t="inlineStr">
        <is>
          <t>1. Làm chủ các chủ đề đọc hiểu phân loại cao (High-Level Reading Topics):</t>
        </is>
      </c>
    </row>
    <row r="42" ht="28" customHeight="1">
      <c r="A42" s="24" t="inlineStr">
        <is>
          <t>Các bài đọc hiểu phân loại 9+ trong kỳ thi Tốt nghiệp THPT và kỳ thi Đánh giá năng lực (ĐGNL) thường xoay quanh: Trí tuệ nhân tạo (AI &amp; Machine Learning), Kinh tế tuần hoàn &amp; Khủng hoảng khí hậu, Đô thị hóa và Thách thức việc làm tương lai. Nắm chắc vốn từ vựng trong file này giúp học sinh tăng 40-50% tốc độ đọc hiểu.</t>
        </is>
      </c>
    </row>
    <row r="43">
      <c r="A43" s="23" t="inlineStr">
        <is>
          <t>2. Tuyệt đối không học từ vựng riêng lẻ - Phải học theo Collocations &amp; Prepositions:</t>
        </is>
      </c>
    </row>
    <row r="44" ht="28" customHeight="1">
      <c r="A44" s="24" t="inlineStr">
        <is>
          <t>Hơn 60% câu hỏi từ vựng trong đề thi trắc nghiệm kiểm tra khả năng kết hợp từ (ví dụ: 'overcome adversity', 'bridge the divide', 'deplete natural resources', 'curriculum vitae', 'autonomous learner'). Việc thuộc cả cụm từ giúp chọn đáp án chính xác trong vòng 5 giây.</t>
        </is>
      </c>
    </row>
    <row r="45">
      <c r="A45" s="23" t="inlineStr">
        <is>
          <t>3. Chiến lược bẫy từ đồng nghĩa / trái nghĩa (Synonyms &amp; Antonyms Trap):</t>
        </is>
      </c>
    </row>
    <row r="46" ht="28" customHeight="1">
      <c r="A46" s="24" t="inlineStr">
        <is>
          <t>Đề thi chính thức thường cài bẫy các từ có vẻ giống nhau nhưng khác sắc thái biểu cảm. Hãy luyện tập kỹ các cặp từ tương phản (ví dụ: 'ethnocentrism' &gt;&lt; 'cosmopolitanism'; 'deplete' &gt;&lt; 'replenish'; 'lucrative' &gt;&lt; 'unprofitable').</t>
        </is>
      </c>
    </row>
    <row r="47">
      <c r="A47" s="23" t="inlineStr">
        <is>
          <t>4. Rèn luyện kỹ thuật đoán nghĩa từ ngữ cảnh (Contextual Guessing):</t>
        </is>
      </c>
    </row>
    <row r="48" ht="28" customHeight="1">
      <c r="A48" s="24" t="inlineStr">
        <is>
          <t>Học sinh lớp 12 cần rèn luyện phản xạ nhận diện từ nối (Linking words) như 'although, however, in contrast, consequently' để suy luận nghĩa của các từ vựng C1 khó khi làm bài thi mà không cần từ điển.</t>
        </is>
      </c>
    </row>
    <row r="49">
      <c r="A49" s="23" t="inlineStr">
        <is>
          <t>5. Ôn tập ngắt quãng với Flashcard &amp; Tự đánh giá định kỳ:</t>
        </is>
      </c>
    </row>
    <row r="50" ht="28" customHeight="1">
      <c r="A50" s="24" t="inlineStr">
        <is>
          <t>Sử dụng Tab 'Flashcard &amp; Luyện Tập' để giải quyết các câu trắc nghiệm thực chiến, đổi màu trạng thái thành 'Cần ôn lại' cho những từ hay quên để tập trung ôn luyện vào các tuần nước rút trước kỳ thi.</t>
        </is>
      </c>
    </row>
  </sheetData>
  <mergeCells count="20">
    <mergeCell ref="F4:G4"/>
    <mergeCell ref="A41:I41"/>
    <mergeCell ref="A46:I46"/>
    <mergeCell ref="H4:I4"/>
    <mergeCell ref="A50:I50"/>
    <mergeCell ref="A2:I2"/>
    <mergeCell ref="A47:I47"/>
    <mergeCell ref="A42:I42"/>
    <mergeCell ref="B5:C6"/>
    <mergeCell ref="D5:E6"/>
    <mergeCell ref="H5:I6"/>
    <mergeCell ref="A43:I43"/>
    <mergeCell ref="A44:I44"/>
    <mergeCell ref="D4:E4"/>
    <mergeCell ref="A48:I48"/>
    <mergeCell ref="A49:I49"/>
    <mergeCell ref="A1:I1"/>
    <mergeCell ref="F5:G6"/>
    <mergeCell ref="A45:I45"/>
    <mergeCell ref="B4:C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9"/>
  <sheetViews>
    <sheetView showGridLines="1" workbookViewId="0">
      <pane ySplit="4" topLeftCell="A5" activePane="bottomLeft" state="frozen"/>
      <selection pane="bottomLeft" activeCell="A1" sqref="A1"/>
    </sheetView>
  </sheetViews>
  <sheetFormatPr baseColWidth="8" defaultRowHeight="15"/>
  <cols>
    <col width="8" customWidth="1" min="1" max="1"/>
    <col width="26" customWidth="1" min="2" max="2"/>
    <col width="24" customWidth="1" min="3" max="3"/>
    <col width="24" customWidth="1" min="4" max="4"/>
    <col width="28" customWidth="1" min="5" max="5"/>
    <col width="48" customWidth="1" min="6" max="6"/>
    <col width="18" customWidth="1" min="7" max="7"/>
    <col width="38" customWidth="1" min="8" max="8"/>
  </cols>
  <sheetData>
    <row r="1" ht="32" customHeight="1">
      <c r="A1" s="12" t="inlineStr">
        <is>
          <t>BẢNG LUYỆN TẬP &amp; ĐÁNH GIÁ MỨC ĐỘ GHI NHỚ TỪ VỰNG TIẾNG ANH LỚP 12</t>
        </is>
      </c>
    </row>
    <row r="2" ht="20" customHeight="1">
      <c r="A2" s="13" t="inlineStr">
        <is>
          <t>Hướng dẫn: Tự điền từ vào chỗ trống trong câu, sau đó đánh giá mức độ ghi nhớ ở cột 'Trạng Thái Ôn Tập' để lên kế hoạch ôn luyện nước rút trước kỳ thi.</t>
        </is>
      </c>
    </row>
    <row r="4" ht="28" customHeight="1">
      <c r="A4" s="1" t="inlineStr">
        <is>
          <t>STT</t>
        </is>
      </c>
      <c r="B4" s="1" t="inlineStr">
        <is>
          <t>Chủ Đề (Topic)</t>
        </is>
      </c>
      <c r="C4" s="1" t="inlineStr">
        <is>
          <t>Từ Cần Nhớ (Target Term)</t>
        </is>
      </c>
      <c r="D4" s="1" t="inlineStr">
        <is>
          <t>Loại Từ &amp; Phiên Âm</t>
        </is>
      </c>
      <c r="E4" s="1" t="inlineStr">
        <is>
          <t>Định Nghĩa Tiếng Việt</t>
        </is>
      </c>
      <c r="F4" s="1" t="inlineStr">
        <is>
          <t>Câu Hỏi Luyện Tập (Điền từ vào chỗ trống)</t>
        </is>
      </c>
      <c r="G4" s="1" t="inlineStr">
        <is>
          <t>Trạng Thái Ôn Tập</t>
        </is>
      </c>
      <c r="H4" s="1" t="inlineStr">
        <is>
          <t>Ghi Chú Ôn Tập Cá Nhân</t>
        </is>
      </c>
    </row>
    <row r="5" ht="36" customHeight="1">
      <c r="A5" s="11" t="n">
        <v>1</v>
      </c>
      <c r="B5" s="7" t="inlineStr">
        <is>
          <t>Unit 1: Life Stories</t>
        </is>
      </c>
      <c r="C5" s="8" t="inlineStr">
        <is>
          <t>perseverance</t>
        </is>
      </c>
      <c r="D5" s="9" t="inlineStr">
        <is>
          <t>noun | /ˌpɜː.sɪˈvɪə.rəns/</t>
        </is>
      </c>
      <c r="E5" s="10" t="inlineStr">
        <is>
          <t>Sự kiên trì, bền bỉ</t>
        </is>
      </c>
      <c r="F5" s="10" t="inlineStr">
        <is>
          <t>It was through sheer determination and unwavering _____ that she completed her medical doctorate despite financial hardship.</t>
        </is>
      </c>
      <c r="G5" s="11" t="inlineStr">
        <is>
          <t>Đã thuộc</t>
        </is>
      </c>
      <c r="H5" s="10" t="inlineStr">
        <is>
          <t>Động từ là persevere in/with</t>
        </is>
      </c>
    </row>
    <row r="6" ht="36" customHeight="1">
      <c r="A6" s="6" t="n">
        <v>2</v>
      </c>
      <c r="B6" s="2" t="inlineStr">
        <is>
          <t>Unit 1: Life Stories</t>
        </is>
      </c>
      <c r="C6" s="3" t="inlineStr">
        <is>
          <t>overcome adversity</t>
        </is>
      </c>
      <c r="D6" s="4" t="inlineStr">
        <is>
          <t>verb phrase | /ˌəʊ.vəˈkʌm ədˈvɜː.sə.ti/</t>
        </is>
      </c>
      <c r="E6" s="5" t="inlineStr">
        <is>
          <t>Vượt qua nghịch cảnh</t>
        </is>
      </c>
      <c r="F6" s="5" t="inlineStr">
        <is>
          <t>The autobiographies of great leaders teach us how human resilience helps individuals _____ and achieve greatness.</t>
        </is>
      </c>
      <c r="G6" s="6" t="inlineStr">
        <is>
          <t>Đã thuộc</t>
        </is>
      </c>
      <c r="H6" s="5" t="inlineStr">
        <is>
          <t>Phân biệt adversity (nghịch cảnh) &amp; adversary (đối thủ)</t>
        </is>
      </c>
    </row>
    <row r="7" ht="36" customHeight="1">
      <c r="A7" s="11" t="n">
        <v>3</v>
      </c>
      <c r="B7" s="7" t="inlineStr">
        <is>
          <t>Unit 2: A Multicultural World</t>
        </is>
      </c>
      <c r="C7" s="8" t="inlineStr">
        <is>
          <t>cultural assimilation</t>
        </is>
      </c>
      <c r="D7" s="9" t="inlineStr">
        <is>
          <t>noun phrase | /ˌkʌl.tʃər.əl əˌsɪm.ɪˈleɪ.ʃən/</t>
        </is>
      </c>
      <c r="E7" s="10" t="inlineStr">
        <is>
          <t>Sự đồng hóa văn hóa</t>
        </is>
      </c>
      <c r="F7" s="10" t="inlineStr">
        <is>
          <t>While integrating into a new society, immigrants often resist complete _____ to protect their unique heritage.</t>
        </is>
      </c>
      <c r="G7" s="11" t="inlineStr">
        <is>
          <t>Đang học</t>
        </is>
      </c>
      <c r="H7" s="10" t="inlineStr">
        <is>
          <t>Động từ assimilate into</t>
        </is>
      </c>
    </row>
    <row r="8" ht="36" customHeight="1">
      <c r="A8" s="6" t="n">
        <v>4</v>
      </c>
      <c r="B8" s="2" t="inlineStr">
        <is>
          <t>Unit 2: A Multicultural World</t>
        </is>
      </c>
      <c r="C8" s="3" t="inlineStr">
        <is>
          <t>ethnocentrism</t>
        </is>
      </c>
      <c r="D8" s="4" t="inlineStr">
        <is>
          <t>noun | /ˌeθ.nəʊˈsen.trɪ.zəm/</t>
        </is>
      </c>
      <c r="E8" s="5" t="inlineStr">
        <is>
          <t>Chủ nghĩa vị chủng</t>
        </is>
      </c>
      <c r="F8" s="5" t="inlineStr">
        <is>
          <t>Global education programs encourage cultural empathy and help students eliminate narrow-minded _____.</t>
        </is>
      </c>
      <c r="G8" s="6" t="inlineStr">
        <is>
          <t>Cần ôn lại</t>
        </is>
      </c>
      <c r="H8" s="5" t="inlineStr">
        <is>
          <t>Tính từ là ethnocentric</t>
        </is>
      </c>
    </row>
    <row r="9" ht="36" customHeight="1">
      <c r="A9" s="11" t="n">
        <v>5</v>
      </c>
      <c r="B9" s="7" t="inlineStr">
        <is>
          <t>Unit 2: A Multicultural World</t>
        </is>
      </c>
      <c r="C9" s="8" t="inlineStr">
        <is>
          <t>melting pot</t>
        </is>
      </c>
      <c r="D9" s="9" t="inlineStr">
        <is>
          <t>noun phrase | /ˈmel.tɪŋ ˌpɒt/</t>
        </is>
      </c>
      <c r="E9" s="10" t="inlineStr">
        <is>
          <t>Nồi lẩu văn hóa giao thoa</t>
        </is>
      </c>
      <c r="F9" s="10" t="inlineStr">
        <is>
          <t>London has long been regarded as a vibrant cultural _____ where dozens of global languages and traditions thrive.</t>
        </is>
      </c>
      <c r="G9" s="11" t="inlineStr">
        <is>
          <t>Đã thuộc</t>
        </is>
      </c>
      <c r="H9" s="10" t="inlineStr">
        <is>
          <t>Phân biệt với mô hình salad bowl</t>
        </is>
      </c>
    </row>
    <row r="10" ht="36" customHeight="1">
      <c r="A10" s="6" t="n">
        <v>6</v>
      </c>
      <c r="B10" s="2" t="inlineStr">
        <is>
          <t>Unit 3: Green Living</t>
        </is>
      </c>
      <c r="C10" s="3" t="inlineStr">
        <is>
          <t>circular economy</t>
        </is>
      </c>
      <c r="D10" s="4" t="inlineStr">
        <is>
          <t>noun phrase | /ˌsɜː.kjə.lər iˈkɒn.ə.mi/</t>
        </is>
      </c>
      <c r="E10" s="5" t="inlineStr">
        <is>
          <t>Kinh tế tuần hoàn</t>
        </is>
      </c>
      <c r="F10" s="5" t="inlineStr">
        <is>
          <t>Transitioning towards a _____ allows industrial manufacturers to eliminate plastic waste by redesigning recyclable materials.</t>
        </is>
      </c>
      <c r="G10" s="6" t="inlineStr">
        <is>
          <t>Đã thuộc</t>
        </is>
      </c>
      <c r="H10" s="5" t="inlineStr">
        <is>
          <t>Đối lập với linear economy</t>
        </is>
      </c>
    </row>
    <row r="11" ht="36" customHeight="1">
      <c r="A11" s="11" t="n">
        <v>7</v>
      </c>
      <c r="B11" s="7" t="inlineStr">
        <is>
          <t>Unit 3: Green Living</t>
        </is>
      </c>
      <c r="C11" s="8" t="inlineStr">
        <is>
          <t>carbon neutral</t>
        </is>
      </c>
      <c r="D11" s="9" t="inlineStr">
        <is>
          <t>adjective | /ˌkɑː.bən ˈnjuː.trəl/</t>
        </is>
      </c>
      <c r="E11" s="10" t="inlineStr">
        <is>
          <t>Trung hòa carbon</t>
        </is>
      </c>
      <c r="F11" s="10" t="inlineStr">
        <is>
          <t>Tech corporations have set ambitious commitments to become completely _____ by switching to 100% solar and wind power.</t>
        </is>
      </c>
      <c r="G11" s="11" t="inlineStr">
        <is>
          <t>Đã thuộc</t>
        </is>
      </c>
      <c r="H11" s="10" t="inlineStr">
        <is>
          <t>Danh từ là carbon neutrality</t>
        </is>
      </c>
    </row>
    <row r="12" ht="36" customHeight="1">
      <c r="A12" s="6" t="n">
        <v>8</v>
      </c>
      <c r="B12" s="2" t="inlineStr">
        <is>
          <t>Unit 3: Green Living</t>
        </is>
      </c>
      <c r="C12" s="3" t="inlineStr">
        <is>
          <t>deplete</t>
        </is>
      </c>
      <c r="D12" s="4" t="inlineStr">
        <is>
          <t>verb | /dɪˈpliːt/</t>
        </is>
      </c>
      <c r="E12" s="5" t="inlineStr">
        <is>
          <t>Làm cạn kiệt tài nguyên</t>
        </is>
      </c>
      <c r="F12" s="5" t="inlineStr">
        <is>
          <t>Excessive overconsumption of fossil fuels will rapidly _____ finite global energy reserves within a few decades.</t>
        </is>
      </c>
      <c r="G12" s="6" t="inlineStr">
        <is>
          <t>Đang học</t>
        </is>
      </c>
      <c r="H12" s="5" t="inlineStr">
        <is>
          <t>Danh từ resource depletion</t>
        </is>
      </c>
    </row>
    <row r="13" ht="36" customHeight="1">
      <c r="A13" s="11" t="n">
        <v>9</v>
      </c>
      <c r="B13" s="7" t="inlineStr">
        <is>
          <t>Unit 4: Urbanisation</t>
        </is>
      </c>
      <c r="C13" s="8" t="inlineStr">
        <is>
          <t>urban sprawl</t>
        </is>
      </c>
      <c r="D13" s="9" t="inlineStr">
        <is>
          <t>noun phrase | /ˌɜː.bən ˈsprɔːl/</t>
        </is>
      </c>
      <c r="E13" s="10" t="inlineStr">
        <is>
          <t>Mở rộng đô thị tràn lan</t>
        </is>
      </c>
      <c r="F13" s="10" t="inlineStr">
        <is>
          <t>Unchecked _____ encroaches on fertile greenbelts and puts immense pressure on metropolitan public transportation.</t>
        </is>
      </c>
      <c r="G13" s="11" t="inlineStr">
        <is>
          <t>Đang học</t>
        </is>
      </c>
      <c r="H13" s="10" t="inlineStr">
        <is>
          <t>Cụm combat urban sprawl</t>
        </is>
      </c>
    </row>
    <row r="14" ht="36" customHeight="1">
      <c r="A14" s="6" t="n">
        <v>10</v>
      </c>
      <c r="B14" s="2" t="inlineStr">
        <is>
          <t>Unit 4: Urbanisation</t>
        </is>
      </c>
      <c r="C14" s="3" t="inlineStr">
        <is>
          <t>rural-to-urban migration</t>
        </is>
      </c>
      <c r="D14" s="4" t="inlineStr">
        <is>
          <t>noun phrase | /ˌrʊə.rəl tu ˈɜː.bən maɪˈɡreɪ.ʃən/</t>
        </is>
      </c>
      <c r="E14" s="5" t="inlineStr">
        <is>
          <t>Di cư từ nông thôn ra phố</t>
        </is>
      </c>
      <c r="F14" s="5" t="inlineStr">
        <is>
          <t>The unprecedented wave of _____ has led to acute housing shortages and overcrowded public hospitals in megacities.</t>
        </is>
      </c>
      <c r="G14" s="6" t="inlineStr">
        <is>
          <t>Đã thuộc</t>
        </is>
      </c>
      <c r="H14" s="5" t="inlineStr">
        <is>
          <t>Danh từ chỉ người: migrant</t>
        </is>
      </c>
    </row>
    <row r="15" ht="36" customHeight="1">
      <c r="A15" s="11" t="n">
        <v>11</v>
      </c>
      <c r="B15" s="7" t="inlineStr">
        <is>
          <t>Unit 4: Urbanisation</t>
        </is>
      </c>
      <c r="C15" s="8" t="inlineStr">
        <is>
          <t>sanitation</t>
        </is>
      </c>
      <c r="D15" s="9" t="inlineStr">
        <is>
          <t>noun | /ˌsæn.ɪˈteɪ.ʃən/</t>
        </is>
      </c>
      <c r="E15" s="10" t="inlineStr">
        <is>
          <t>Vệ sinh môi trường công cộng</t>
        </is>
      </c>
      <c r="F15" s="10" t="inlineStr">
        <is>
          <t>Investing in clean water and modern sewage _____ is vital to prevent epidemic outbreaks in densely packed slums.</t>
        </is>
      </c>
      <c r="G15" s="11" t="inlineStr">
        <is>
          <t>Đã thuộc</t>
        </is>
      </c>
      <c r="H15" s="10" t="inlineStr">
        <is>
          <t>Tính từ là sanitary &gt;&lt; unsanitary</t>
        </is>
      </c>
    </row>
    <row r="16" ht="36" customHeight="1">
      <c r="A16" s="6" t="n">
        <v>12</v>
      </c>
      <c r="B16" s="2" t="inlineStr">
        <is>
          <t>Unit 5: The World of Work</t>
        </is>
      </c>
      <c r="C16" s="3" t="inlineStr">
        <is>
          <t>adaptability</t>
        </is>
      </c>
      <c r="D16" s="4" t="inlineStr">
        <is>
          <t>noun | /əˌdæp.təˈbɪl.ə.ti/</t>
        </is>
      </c>
      <c r="E16" s="5" t="inlineStr">
        <is>
          <t>Khả năng thích ứng linh hoạt</t>
        </is>
      </c>
      <c r="F16" s="5" t="inlineStr">
        <is>
          <t>Given the rapid disruption of digital automation, workplace _____ is the most prized asset of modern employees.</t>
        </is>
      </c>
      <c r="G16" s="6" t="inlineStr">
        <is>
          <t>Đã thuộc</t>
        </is>
      </c>
      <c r="H16" s="5" t="inlineStr">
        <is>
          <t>Động từ adapt to + N/V-ing</t>
        </is>
      </c>
    </row>
    <row r="17" ht="36" customHeight="1">
      <c r="A17" s="11" t="n">
        <v>13</v>
      </c>
      <c r="B17" s="7" t="inlineStr">
        <is>
          <t>Unit 5: The World of Work</t>
        </is>
      </c>
      <c r="C17" s="8" t="inlineStr">
        <is>
          <t>gig economy</t>
        </is>
      </c>
      <c r="D17" s="9" t="inlineStr">
        <is>
          <t>noun phrase | /ˈɡɪɡ ɪˌkɒn.ə.mi/</t>
        </is>
      </c>
      <c r="E17" s="10" t="inlineStr">
        <is>
          <t>Kinh tế việc làm tự do</t>
        </is>
      </c>
      <c r="F17" s="10" t="inlineStr">
        <is>
          <t>The exponential growth of the _____ provides flexibility for freelance drivers, designers, and delivery workers.</t>
        </is>
      </c>
      <c r="G17" s="11" t="inlineStr">
        <is>
          <t>Đang học</t>
        </is>
      </c>
      <c r="H17" s="10" t="inlineStr">
        <is>
          <t>Gig = công việc tự do thời vụ</t>
        </is>
      </c>
    </row>
    <row r="18" ht="36" customHeight="1">
      <c r="A18" s="6" t="n">
        <v>14</v>
      </c>
      <c r="B18" s="2" t="inlineStr">
        <is>
          <t>Unit 5: The World of Work</t>
        </is>
      </c>
      <c r="C18" s="3" t="inlineStr">
        <is>
          <t>upskill</t>
        </is>
      </c>
      <c r="D18" s="4" t="inlineStr">
        <is>
          <t>verb | /ˌʌpˈskɪl/</t>
        </is>
      </c>
      <c r="E18" s="5" t="inlineStr">
        <is>
          <t>Nâng cao tay nghề kỹ năng</t>
        </is>
      </c>
      <c r="F18" s="5" t="inlineStr">
        <is>
          <t>Mid-career professionals must proactively _____ in cloud computing and data analytics to stay competitive.</t>
        </is>
      </c>
      <c r="G18" s="6" t="inlineStr">
        <is>
          <t>Đã thuộc</t>
        </is>
      </c>
      <c r="H18" s="5" t="inlineStr">
        <is>
          <t>Đi kèm cặp với reskill</t>
        </is>
      </c>
    </row>
    <row r="19" ht="36" customHeight="1">
      <c r="A19" s="11" t="n">
        <v>15</v>
      </c>
      <c r="B19" s="7" t="inlineStr">
        <is>
          <t>Unit 6: Artificial Intelligence</t>
        </is>
      </c>
      <c r="C19" s="8" t="inlineStr">
        <is>
          <t>algorithm</t>
        </is>
      </c>
      <c r="D19" s="9" t="inlineStr">
        <is>
          <t>noun | /ˈæl.ɡə.rɪ.ðəm/</t>
        </is>
      </c>
      <c r="E19" s="10" t="inlineStr">
        <is>
          <t>Thuật toán xử lý dữ liệu</t>
        </is>
      </c>
      <c r="F19" s="10" t="inlineStr">
        <is>
          <t>E-commerce apps utilize recommendation _____ to analyze user browsing behaviors and suggest products.</t>
        </is>
      </c>
      <c r="G19" s="11" t="inlineStr">
        <is>
          <t>Đã thuộc</t>
        </is>
      </c>
      <c r="H19" s="10" t="inlineStr">
        <is>
          <t>Trọng âm 1: AL-go-rithm</t>
        </is>
      </c>
    </row>
    <row r="20" ht="36" customHeight="1">
      <c r="A20" s="6" t="n">
        <v>16</v>
      </c>
      <c r="B20" s="2" t="inlineStr">
        <is>
          <t>Unit 6: Artificial Intelligence</t>
        </is>
      </c>
      <c r="C20" s="3" t="inlineStr">
        <is>
          <t>autonomous vehicle</t>
        </is>
      </c>
      <c r="D20" s="4" t="inlineStr">
        <is>
          <t>noun phrase | /ɔːˈtɒn.ə.məs ˈvɪə.kəl/</t>
        </is>
      </c>
      <c r="E20" s="5" t="inlineStr">
        <is>
          <t>Xe tự hành thông minh</t>
        </is>
      </c>
      <c r="F20" s="5" t="inlineStr">
        <is>
          <t>Engineers are rigorously testing _____ equipped with LiDAR sensors to ensure passenger safety in heavy rain.</t>
        </is>
      </c>
      <c r="G20" s="6" t="inlineStr">
        <is>
          <t>Đã thuộc</t>
        </is>
      </c>
      <c r="H20" s="5" t="inlineStr">
        <is>
          <t>Autonomous = tự chủ / tự hành</t>
        </is>
      </c>
    </row>
    <row r="21" ht="36" customHeight="1">
      <c r="A21" s="11" t="n">
        <v>17</v>
      </c>
      <c r="B21" s="7" t="inlineStr">
        <is>
          <t>Unit 6: Artificial Intelligence</t>
        </is>
      </c>
      <c r="C21" s="8" t="inlineStr">
        <is>
          <t>ethical concern</t>
        </is>
      </c>
      <c r="D21" s="9" t="inlineStr">
        <is>
          <t>noun phrase | /ˈeθ.ɪ.kəl kənˌsɜːn/</t>
        </is>
      </c>
      <c r="E21" s="10" t="inlineStr">
        <is>
          <t>Mối lo ngại về đạo đức</t>
        </is>
      </c>
      <c r="F21" s="10" t="inlineStr">
        <is>
          <t>Deploying generative AI tools in academic grading raises serious _____ regarding plagiarism and fairness.</t>
        </is>
      </c>
      <c r="G21" s="11" t="inlineStr">
        <is>
          <t>Đang học</t>
        </is>
      </c>
      <c r="H21" s="10" t="inlineStr">
        <is>
          <t>Cụm raise / address ethical concerns</t>
        </is>
      </c>
    </row>
    <row r="22" ht="36" customHeight="1">
      <c r="A22" s="6" t="n">
        <v>18</v>
      </c>
      <c r="B22" s="2" t="inlineStr">
        <is>
          <t>Unit 7: World of Mass Media</t>
        </is>
      </c>
      <c r="C22" s="3" t="inlineStr">
        <is>
          <t>misinformation</t>
        </is>
      </c>
      <c r="D22" s="4" t="inlineStr">
        <is>
          <t>noun | /ˌmɪs.ɪn.fəˈmeɪ.ʃən/</t>
        </is>
      </c>
      <c r="E22" s="5" t="inlineStr">
        <is>
          <t>Thông tin sai lệch</t>
        </is>
      </c>
      <c r="F22" s="5" t="inlineStr">
        <is>
          <t>During public health crises, health agencies must work urgently to debunk viral _____ spreading on social networks.</t>
        </is>
      </c>
      <c r="G22" s="6" t="inlineStr">
        <is>
          <t>Đã thuộc</t>
        </is>
      </c>
      <c r="H22" s="5" t="inlineStr">
        <is>
          <t>Phân biệt với disinformation (cố ý bịa đặt)</t>
        </is>
      </c>
    </row>
    <row r="23" ht="36" customHeight="1">
      <c r="A23" s="11" t="n">
        <v>19</v>
      </c>
      <c r="B23" s="7" t="inlineStr">
        <is>
          <t>Unit 7: World of Mass Media</t>
        </is>
      </c>
      <c r="C23" s="8" t="inlineStr">
        <is>
          <t>media literacy</t>
        </is>
      </c>
      <c r="D23" s="9" t="inlineStr">
        <is>
          <t>noun phrase | /ˈmiː.di.ə ˈlɪt.ər.ə.si/</t>
        </is>
      </c>
      <c r="E23" s="10" t="inlineStr">
        <is>
          <t>Hiểu biết truyền thông</t>
        </is>
      </c>
      <c r="F23" s="10" t="inlineStr">
        <is>
          <t>Educators emphasize that developing _____ is the strongest shield against sensationalist fake news.</t>
        </is>
      </c>
      <c r="G23" s="11" t="inlineStr">
        <is>
          <t>Đang học</t>
        </is>
      </c>
      <c r="H23" s="10" t="inlineStr">
        <is>
          <t>Kỹ năng đánh giá phản biện tin tức</t>
        </is>
      </c>
    </row>
    <row r="24" ht="36" customHeight="1">
      <c r="A24" s="6" t="n">
        <v>20</v>
      </c>
      <c r="B24" s="2" t="inlineStr">
        <is>
          <t>Unit 7: World of Mass Media</t>
        </is>
      </c>
      <c r="C24" s="3" t="inlineStr">
        <is>
          <t>sensationalism</t>
        </is>
      </c>
      <c r="D24" s="4" t="inlineStr">
        <is>
          <t>noun | /senˈseɪ.ʃən.əl.ɪ.zəm/</t>
        </is>
      </c>
      <c r="E24" s="5" t="inlineStr">
        <is>
          <t>Khuynh hướng giật gân</t>
        </is>
      </c>
      <c r="F24" s="5" t="inlineStr">
        <is>
          <t>Tabloid journalism is frequently condemned for relying on cheap _____ rather than investigating verified facts.</t>
        </is>
      </c>
      <c r="G24" s="6" t="inlineStr">
        <is>
          <t>Cần ôn lại</t>
        </is>
      </c>
      <c r="H24" s="5" t="inlineStr">
        <is>
          <t>Tính từ là sensational</t>
        </is>
      </c>
    </row>
    <row r="25" ht="36" customHeight="1">
      <c r="A25" s="11" t="n">
        <v>21</v>
      </c>
      <c r="B25" s="7" t="inlineStr">
        <is>
          <t>Unit 8: Wildlife Conservation</t>
        </is>
      </c>
      <c r="C25" s="8" t="inlineStr">
        <is>
          <t>poaching</t>
        </is>
      </c>
      <c r="D25" s="9" t="inlineStr">
        <is>
          <t>noun | /ˈpəʊ.tʃɪŋ/</t>
        </is>
      </c>
      <c r="E25" s="10" t="inlineStr">
        <is>
          <t>Nạn săn bắt trộm thú quý</t>
        </is>
      </c>
      <c r="F25" s="10" t="inlineStr">
        <is>
          <t>Stricter international penal codes are needed to dismantle criminal networks involved in wildlife _____.</t>
        </is>
      </c>
      <c r="G25" s="11" t="inlineStr">
        <is>
          <t>Đã thuộc</t>
        </is>
      </c>
      <c r="H25" s="10" t="inlineStr">
        <is>
          <t>Kẻ săn trộm: poacher</t>
        </is>
      </c>
    </row>
    <row r="26" ht="36" customHeight="1">
      <c r="A26" s="6" t="n">
        <v>22</v>
      </c>
      <c r="B26" s="2" t="inlineStr">
        <is>
          <t>Unit 8: Wildlife Conservation</t>
        </is>
      </c>
      <c r="C26" s="3" t="inlineStr">
        <is>
          <t>habitat fragmentation</t>
        </is>
      </c>
      <c r="D26" s="4" t="inlineStr">
        <is>
          <t>noun phrase | /ˈhæb.ɪ.tæt ˌfræɡ.menˈteɪ.ʃən/</t>
        </is>
      </c>
      <c r="E26" s="5" t="inlineStr">
        <is>
          <t>Phân mảnh sinh cảnh</t>
        </is>
      </c>
      <c r="F26" s="5" t="inlineStr">
        <is>
          <t>Building railway networks directly across national parks causes severe _____ and threatens territorial carnivores.</t>
        </is>
      </c>
      <c r="G26" s="6" t="inlineStr">
        <is>
          <t>Đang học</t>
        </is>
      </c>
      <c r="H26" s="5" t="inlineStr">
        <is>
          <t>Động từ là fragment</t>
        </is>
      </c>
    </row>
    <row r="27" ht="36" customHeight="1">
      <c r="A27" s="11" t="n">
        <v>23</v>
      </c>
      <c r="B27" s="7" t="inlineStr">
        <is>
          <t>Unit 9: Career Paths</t>
        </is>
      </c>
      <c r="C27" s="8" t="inlineStr">
        <is>
          <t>probationary period</t>
        </is>
      </c>
      <c r="D27" s="9" t="inlineStr">
        <is>
          <t>noun phrase | /prəˈbeɪ.ʃən.ər.i ˌpɪə.ri.əd/</t>
        </is>
      </c>
      <c r="E27" s="10" t="inlineStr">
        <is>
          <t>Thời gian thử việc</t>
        </is>
      </c>
      <c r="F27" s="10" t="inlineStr">
        <is>
          <t>After completing a successful three-month _____, she was offered an official permanent employment contract.</t>
        </is>
      </c>
      <c r="G27" s="11" t="inlineStr">
        <is>
          <t>Đã thuộc</t>
        </is>
      </c>
      <c r="H27" s="10" t="inlineStr">
        <is>
          <t>Probation = thời gian thử việc</t>
        </is>
      </c>
    </row>
    <row r="28" ht="36" customHeight="1">
      <c r="A28" s="6" t="n">
        <v>24</v>
      </c>
      <c r="B28" s="2" t="inlineStr">
        <is>
          <t>Unit 9: Career Paths</t>
        </is>
      </c>
      <c r="C28" s="3" t="inlineStr">
        <is>
          <t>lucrative</t>
        </is>
      </c>
      <c r="D28" s="4" t="inlineStr">
        <is>
          <t>adjective | /ˈluː.krə.tɪv/</t>
        </is>
      </c>
      <c r="E28" s="5" t="inlineStr">
        <is>
          <t>Béo bở, sinh lợi cao</t>
        </is>
      </c>
      <c r="F28" s="5" t="inlineStr">
        <is>
          <t>Software engineering and financial investment management are widely recognized as highly _____ professions.</t>
        </is>
      </c>
      <c r="G28" s="6" t="inlineStr">
        <is>
          <t>Đã thuộc</t>
        </is>
      </c>
      <c r="H28" s="5" t="inlineStr">
        <is>
          <t>Đồng nghĩa với profitable / well-paid</t>
        </is>
      </c>
    </row>
    <row r="29" ht="36" customHeight="1">
      <c r="A29" s="11" t="n">
        <v>25</v>
      </c>
      <c r="B29" s="7" t="inlineStr">
        <is>
          <t>Unit 10: Lifelong Learning</t>
        </is>
      </c>
      <c r="C29" s="8" t="inlineStr">
        <is>
          <t>autonomous learner</t>
        </is>
      </c>
      <c r="D29" s="9" t="inlineStr">
        <is>
          <t>noun phrase | /ɔːˈtɒn.ə.məs ˈlɜː.nər/</t>
        </is>
      </c>
      <c r="E29" s="10" t="inlineStr">
        <is>
          <t>Người học tự chủ</t>
        </is>
      </c>
      <c r="F29" s="10" t="inlineStr">
        <is>
          <t>To excel in tertiary education, undergraduates must transform themselves into self-directed and _____.</t>
        </is>
      </c>
      <c r="G29" s="11" t="inlineStr">
        <is>
          <t>Đã thuộc</t>
        </is>
      </c>
      <c r="H29" s="10" t="inlineStr">
        <is>
          <t>Danh từ learner autonomy</t>
        </is>
      </c>
    </row>
  </sheetData>
  <autoFilter ref="A4:H29"/>
  <mergeCells count="2">
    <mergeCell ref="A2:H2"/>
    <mergeCell ref="A1:H1"/>
  </mergeCells>
  <conditionalFormatting sqref="G5:G29">
    <cfRule type="cellIs" priority="1" operator="equal" dxfId="0">
      <formula>"Đã thuộc"</formula>
    </cfRule>
    <cfRule type="cellIs" priority="2" operator="equal" dxfId="1">
      <formula>"Đang học"</formula>
    </cfRule>
    <cfRule type="cellIs" priority="3" operator="equal" dxfId="2">
      <formula>"Cần ôn lại"</formula>
    </cfRule>
  </conditionalFormatting>
  <dataValidations count="1">
    <dataValidation sqref="G5:G29" showDropDown="0" showInputMessage="0" showErrorMessage="0" allowBlank="1" type="list">
      <formula1>"Đã thuộc,Đang học,Cần ôn lại"</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2026-08-18T10:25:35Z</dcterms:created>
  <dcterms:modified xmlns:dcterms="http://purl.org/dc/terms/" xmlns:xsi="http://www.w3.org/2001/XMLSchema-instance" xsi:type="dcterms:W3CDTF">2026-08-18T10:25:53Z</dcterms:modified>
</cp:coreProperties>
</file>