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Tiếng Anh Lớp 11"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Tiếng Anh Lớp 11'!$A$1:$K$61</definedName>
    <definedName name="_xlnm._FilterDatabase" localSheetId="2" hidden="1">'Flashcard &amp; Luyện Tập'!$A$4:$H$29</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4C1D95"/>
      <sz val="16"/>
    </font>
    <font>
      <name val="Segoe UI"/>
      <b val="1"/>
      <color rgb="00475569"/>
      <sz val="9"/>
    </font>
    <font>
      <name val="Segoe UI"/>
      <b val="1"/>
      <color rgb="004C1D95"/>
      <sz val="18"/>
    </font>
    <font>
      <name val="Segoe UI"/>
      <b val="1"/>
      <color rgb="004C1D95"/>
      <sz val="12"/>
    </font>
  </fonts>
  <fills count="7">
    <fill>
      <patternFill/>
    </fill>
    <fill>
      <patternFill patternType="gray125"/>
    </fill>
    <fill>
      <patternFill patternType="solid">
        <fgColor rgb="004C1D95"/>
        <bgColor rgb="004C1D95"/>
      </patternFill>
    </fill>
    <fill>
      <patternFill patternType="solid">
        <fgColor rgb="00F8FAFC"/>
        <bgColor rgb="00F8FAFC"/>
      </patternFill>
    </fill>
    <fill>
      <patternFill patternType="solid">
        <fgColor rgb="00FFFFFF"/>
        <bgColor rgb="00FFFFFF"/>
      </patternFill>
    </fill>
    <fill>
      <patternFill patternType="solid">
        <fgColor rgb="00F3F4F6"/>
        <bgColor rgb="00F3F4F6"/>
      </patternFill>
    </fill>
    <fill>
      <patternFill patternType="solid">
        <fgColor rgb="00F5F3FF"/>
        <bgColor rgb="00F5F3FF"/>
      </patternFill>
    </fill>
  </fills>
  <borders count="3">
    <border>
      <left/>
      <right/>
      <top/>
      <bottom/>
      <diagonal/>
    </border>
    <border>
      <left style="thin">
        <color rgb="00CBD5E1"/>
      </left>
      <right style="thin">
        <color rgb="00CBD5E1"/>
      </right>
      <top style="thin">
        <color rgb="00CBD5E1"/>
      </top>
      <bottom style="medium">
        <color rgb="002E1065"/>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5" borderId="2" applyAlignment="1" pivotButton="0" quotePrefix="0" xfId="0">
      <alignment horizontal="center" vertical="center" wrapText="1"/>
    </xf>
    <xf numFmtId="0" fontId="0" fillId="0" borderId="2" pivotButton="0" quotePrefix="0" xfId="0"/>
    <xf numFmtId="0" fontId="7" fillId="5"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right" vertical="center" wrapText="1"/>
    </xf>
    <xf numFmtId="0" fontId="3" fillId="6" borderId="1" applyAlignment="1" pivotButton="0" quotePrefix="0" xfId="0">
      <alignment horizontal="left" vertical="center" wrapText="1"/>
    </xf>
    <xf numFmtId="0" fontId="3" fillId="6"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Lượng Từ Vựng Theo Từng Unit Lớp 11</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Kê'!$A$10:$A$19</f>
            </numRef>
          </cat>
          <val>
            <numRef>
              <f>'Tổng Quan &amp; Thống Kê'!$B$10:$B$19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Phân Bố Cấp Độ CEFR Lớp 11 (A2 - B1 - B2)</a:t>
            </a:r>
          </a:p>
        </rich>
      </tx>
    </title>
    <plotArea>
      <pieChart>
        <varyColors val="1"/>
        <ser>
          <idx val="0"/>
          <order val="0"/>
          <tx>
            <strRef>
              <f>'Tổng Quan &amp; Thống Kê'!G9</f>
            </strRef>
          </tx>
          <spPr>
            <a:ln xmlns:a="http://schemas.openxmlformats.org/drawingml/2006/main">
              <a:prstDash val="solid"/>
            </a:ln>
          </spPr>
          <cat>
            <numRef>
              <f>'Tổng Quan &amp; Thống Kê'!$F$10:$F$12</f>
            </numRef>
          </cat>
          <val>
            <numRef>
              <f>'Tổng Quan &amp; Thống Kê'!$G$10:$G$12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21</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14</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6" customWidth="1" min="3" max="3"/>
    <col width="22" customWidth="1" min="4" max="4"/>
    <col width="38" customWidth="1" min="5" max="5"/>
    <col width="10" customWidth="1" min="6" max="6"/>
    <col width="50" customWidth="1" min="7" max="7"/>
    <col width="32" customWidth="1" min="8" max="8"/>
    <col width="28" customWidth="1" min="9" max="9"/>
    <col width="40" customWidth="1" min="10" max="10"/>
    <col width="42" customWidth="1" min="11" max="11"/>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row>
    <row r="2" ht="42" customHeight="1">
      <c r="A2" s="2" t="inlineStr">
        <is>
          <t>Unit 1: A Long &amp; Healthy Life</t>
        </is>
      </c>
      <c r="B2" s="3" t="inlineStr">
        <is>
          <t>immune system</t>
        </is>
      </c>
      <c r="C2" s="4" t="inlineStr">
        <is>
          <t>noun phrase</t>
        </is>
      </c>
      <c r="D2" s="2" t="inlineStr">
        <is>
          <t>/ɪˈmjuːn ˌsɪs.təm/</t>
        </is>
      </c>
      <c r="E2" s="5" t="inlineStr">
        <is>
          <t>Hệ miễn dịch (hệ thống phòng thủ sinh học chống lại mầm bệnh)</t>
        </is>
      </c>
      <c r="F2" s="6" t="inlineStr">
        <is>
          <t>B2</t>
        </is>
      </c>
      <c r="G2" s="5" t="inlineStr">
        <is>
          <t>A balanced diet rich in vitamins and regular exercise significantly strengthen the immune system.</t>
        </is>
      </c>
      <c r="H2" s="5" t="inlineStr">
        <is>
          <t>body defense system, immunity</t>
        </is>
      </c>
      <c r="I2" s="5" t="inlineStr">
        <is>
          <t>immunodeficiency</t>
        </is>
      </c>
      <c r="J2" s="5" t="inlineStr">
        <is>
          <t>boost the immune system, weaken the immune system, strong immune system</t>
        </is>
      </c>
      <c r="K2" s="5" t="inlineStr">
        <is>
          <t>Tính từ 'immune' (immune to disease = miễn dịch với bệnh tật).</t>
        </is>
      </c>
    </row>
    <row r="3" ht="42" customHeight="1">
      <c r="A3" s="7" t="inlineStr">
        <is>
          <t>Unit 1: A Long &amp; Healthy Life</t>
        </is>
      </c>
      <c r="B3" s="8" t="inlineStr">
        <is>
          <t>longevity</t>
        </is>
      </c>
      <c r="C3" s="9" t="inlineStr">
        <is>
          <t>noun</t>
        </is>
      </c>
      <c r="D3" s="7" t="inlineStr">
        <is>
          <t>/lɒnˈdʒev.ə.ti/</t>
        </is>
      </c>
      <c r="E3" s="10" t="inlineStr">
        <is>
          <t>Tuổi thọ cao, sự sống lâu</t>
        </is>
      </c>
      <c r="F3" s="11" t="inlineStr">
        <is>
          <t>B2</t>
        </is>
      </c>
      <c r="G3" s="10" t="inlineStr">
        <is>
          <t>Japanese people are renowned worldwide for their exceptional longevity and healthy eating habits.</t>
        </is>
      </c>
      <c r="H3" s="10" t="inlineStr">
        <is>
          <t>long life, lifespan, life expectancy</t>
        </is>
      </c>
      <c r="I3" s="10" t="inlineStr">
        <is>
          <t>short lifespan, early death</t>
        </is>
      </c>
      <c r="J3" s="10" t="inlineStr">
        <is>
          <t>promote longevity, secret to longevity, exceptional longevity</t>
        </is>
      </c>
      <c r="K3" s="10" t="inlineStr">
        <is>
          <t>Gốc từ 'long' -&gt; tính từ 'long-lived' -&gt; danh từ 'longevity'. Trọng âm 2.</t>
        </is>
      </c>
    </row>
    <row r="4" ht="42" customHeight="1">
      <c r="A4" s="2" t="inlineStr">
        <is>
          <t>Unit 1: A Long &amp; Healthy Life</t>
        </is>
      </c>
      <c r="B4" s="3" t="inlineStr">
        <is>
          <t>antibiotic resistance</t>
        </is>
      </c>
      <c r="C4" s="4" t="inlineStr">
        <is>
          <t>noun phrase</t>
        </is>
      </c>
      <c r="D4" s="2" t="inlineStr">
        <is>
          <t>/ˌæn.ti.baɪˈɒt.ɪk rɪˌzɪs.təns/</t>
        </is>
      </c>
      <c r="E4" s="5" t="inlineStr">
        <is>
          <t>Sự kháng thuốc kháng sinh (vi khuẩn biến đổi không còn bị tiêu diệt bởi thuốc)</t>
        </is>
      </c>
      <c r="F4" s="6" t="inlineStr">
        <is>
          <t>B2</t>
        </is>
      </c>
      <c r="G4" s="5" t="inlineStr">
        <is>
          <t>Overusing prescription drugs can lead to dangerous antibiotic resistance in patients.</t>
        </is>
      </c>
      <c r="H4" s="5" t="inlineStr">
        <is>
          <t>drug resistance, antimicrobial resistance</t>
        </is>
      </c>
      <c r="I4" s="5" t="inlineStr">
        <is>
          <t>antibiotic sensitivity</t>
        </is>
      </c>
      <c r="J4" s="5" t="inlineStr">
        <is>
          <t>combat antibiotic resistance, cause antibiotic resistance, rise of antibiotic resistance</t>
        </is>
      </c>
      <c r="K4" s="5" t="inlineStr">
        <is>
          <t>Vấn đề y tế toàn cầu then chốt được thảo luận trong bài học Unit 1.</t>
        </is>
      </c>
    </row>
    <row r="5" ht="42" customHeight="1">
      <c r="A5" s="7" t="inlineStr">
        <is>
          <t>Unit 1: A Long &amp; Healthy Life</t>
        </is>
      </c>
      <c r="B5" s="8" t="inlineStr">
        <is>
          <t>nutritious</t>
        </is>
      </c>
      <c r="C5" s="9" t="inlineStr">
        <is>
          <t>adjective</t>
        </is>
      </c>
      <c r="D5" s="7" t="inlineStr">
        <is>
          <t>/njuːˈtrɪʃ.əs/</t>
        </is>
      </c>
      <c r="E5" s="10" t="inlineStr">
        <is>
          <t>Bổ dưỡng, giàu chất dinh dưỡng tốt cho cơ thể</t>
        </is>
      </c>
      <c r="F5" s="11" t="inlineStr">
        <is>
          <t>B1</t>
        </is>
      </c>
      <c r="G5" s="10" t="inlineStr">
        <is>
          <t>A nutritious breakfast provides teenagers with the vital energy needed for active school days.</t>
        </is>
      </c>
      <c r="H5" s="10" t="inlineStr">
        <is>
          <t>nourishing, wholesome, nutrient-dense</t>
        </is>
      </c>
      <c r="I5" s="10" t="inlineStr">
        <is>
          <t>unhealthy, unwholesome, junk food</t>
        </is>
      </c>
      <c r="J5" s="10" t="inlineStr">
        <is>
          <t>nutritious meal, highly nutritious, nutritious diet</t>
        </is>
      </c>
      <c r="K5" s="10" t="inlineStr">
        <is>
          <t>Danh từ: nutrition (dinh dưỡng), nutrient (chất dinh dưỡng), nutritionist (chuyên gia dinh dưỡng).</t>
        </is>
      </c>
    </row>
    <row r="6" ht="42" customHeight="1">
      <c r="A6" s="2" t="inlineStr">
        <is>
          <t>Unit 1: A Long &amp; Healthy Life</t>
        </is>
      </c>
      <c r="B6" s="3" t="inlineStr">
        <is>
          <t>infectious disease</t>
        </is>
      </c>
      <c r="C6" s="4" t="inlineStr">
        <is>
          <t>noun phrase</t>
        </is>
      </c>
      <c r="D6" s="2" t="inlineStr">
        <is>
          <t>/ɪnˈfek.ʃəs dɪˌziːz/</t>
        </is>
      </c>
      <c r="E6" s="5" t="inlineStr">
        <is>
          <t>Bệnh truyền nhiễm (bệnh lây lan do virus, vi khuẩn)</t>
        </is>
      </c>
      <c r="F6" s="6" t="inlineStr">
        <is>
          <t>B2</t>
        </is>
      </c>
      <c r="G6" s="5" t="inlineStr">
        <is>
          <t>Vaccination is one of the most effective measures to prevent the spread of infectious diseases.</t>
        </is>
      </c>
      <c r="H6" s="5" t="inlineStr">
        <is>
          <t>contagious disease, communicable disease</t>
        </is>
      </c>
      <c r="I6" s="5" t="inlineStr">
        <is>
          <t>non-communicable disease, chronic condition</t>
        </is>
      </c>
      <c r="J6" s="5" t="inlineStr">
        <is>
          <t>spread of infectious disease, fight infectious diseases, outbreak of an infectious disease</t>
        </is>
      </c>
      <c r="K6" s="5" t="inlineStr">
        <is>
          <t>Động từ: infect (lây nhiễm), infection (sự nhiễm trùng), disinfect (khử trùng).</t>
        </is>
      </c>
    </row>
    <row r="7" ht="42" customHeight="1">
      <c r="A7" s="7" t="inlineStr">
        <is>
          <t>Unit 1: A Long &amp; Healthy Life</t>
        </is>
      </c>
      <c r="B7" s="8" t="inlineStr">
        <is>
          <t>work out</t>
        </is>
      </c>
      <c r="C7" s="9" t="inlineStr">
        <is>
          <t>phrasal verb</t>
        </is>
      </c>
      <c r="D7" s="7" t="inlineStr">
        <is>
          <t>/wɜːk aʊt/</t>
        </is>
      </c>
      <c r="E7" s="10" t="inlineStr">
        <is>
          <t>Tập thể dục, rèn luyện thể chất</t>
        </is>
      </c>
      <c r="F7" s="11" t="inlineStr">
        <is>
          <t>A2</t>
        </is>
      </c>
      <c r="G7" s="10" t="inlineStr">
        <is>
          <t>He makes it a habit to work out at the fitness center three times a week.</t>
        </is>
      </c>
      <c r="H7" s="10" t="inlineStr">
        <is>
          <t>exercise, do physical training, keep fit</t>
        </is>
      </c>
      <c r="I7" s="10" t="inlineStr">
        <is>
          <t>lead a sedentary lifestyle</t>
        </is>
      </c>
      <c r="J7" s="10" t="inlineStr">
        <is>
          <t>work out regularly, gym workout, intense workout routine</t>
        </is>
      </c>
      <c r="K7" s="10" t="inlineStr">
        <is>
          <t>Danh từ viết liền: a workout (buổi tập luyện).</t>
        </is>
      </c>
    </row>
    <row r="8" ht="42" customHeight="1">
      <c r="A8" s="2" t="inlineStr">
        <is>
          <t>Unit 2: The Generation Gap</t>
        </is>
      </c>
      <c r="B8" s="3" t="inlineStr">
        <is>
          <t>generation gap</t>
        </is>
      </c>
      <c r="C8" s="4" t="inlineStr">
        <is>
          <t>noun phrase</t>
        </is>
      </c>
      <c r="D8" s="2" t="inlineStr">
        <is>
          <t>/ˌdʒen.əˈreɪ.ʃən ɡæp/</t>
        </is>
      </c>
      <c r="E8" s="5" t="inlineStr">
        <is>
          <t>Khoảng cách thế hệ (sự khác biệt về tư tưởng, lối sống giữa các thế hệ)</t>
        </is>
      </c>
      <c r="F8" s="6" t="inlineStr">
        <is>
          <t>B2</t>
        </is>
      </c>
      <c r="G8" s="5" t="inlineStr">
        <is>
          <t>Open family communication is essential to bridge the generation gap between parents and teenagers.</t>
        </is>
      </c>
      <c r="H8" s="5" t="inlineStr">
        <is>
          <t>generational divide, age divide</t>
        </is>
      </c>
      <c r="I8" s="5" t="inlineStr">
        <is>
          <t>generational harmony, mutual understanding</t>
        </is>
      </c>
      <c r="J8" s="5" t="inlineStr">
        <is>
          <t>bridge the generation gap, narrow the generation gap, experience a generation gap</t>
        </is>
      </c>
      <c r="K8" s="5" t="inlineStr">
        <is>
          <t>Động từ hay đi kèm: bridge / narrow (thu hẹp khoảng cách).</t>
        </is>
      </c>
    </row>
    <row r="9" ht="42" customHeight="1">
      <c r="A9" s="7" t="inlineStr">
        <is>
          <t>Unit 2: The Generation Gap</t>
        </is>
      </c>
      <c r="B9" s="8" t="inlineStr">
        <is>
          <t>extended family</t>
        </is>
      </c>
      <c r="C9" s="9" t="inlineStr">
        <is>
          <t>noun phrase</t>
        </is>
      </c>
      <c r="D9" s="7" t="inlineStr">
        <is>
          <t>/ɪkˌsten.dɪd ˈfæm.əl.i/</t>
        </is>
      </c>
      <c r="E9" s="10" t="inlineStr">
        <is>
          <t>Gia đình nhiều thế hệ (gồm ông bà, cha mẹ, con cháu cùng chung sống)</t>
        </is>
      </c>
      <c r="F9" s="11" t="inlineStr">
        <is>
          <t>B1</t>
        </is>
      </c>
      <c r="G9" s="10" t="inlineStr">
        <is>
          <t>Living in an extended family allows children to receive abundant care and love from grandparents.</t>
        </is>
      </c>
      <c r="H9" s="10" t="inlineStr">
        <is>
          <t>multi-generational family, joint family</t>
        </is>
      </c>
      <c r="I9" s="10" t="inlineStr">
        <is>
          <t>nuclear family, single-parent family</t>
        </is>
      </c>
      <c r="J9" s="10" t="inlineStr">
        <is>
          <t>live in an extended family, extended family members, traditional extended family</t>
        </is>
      </c>
      <c r="K9" s="10" t="inlineStr">
        <is>
          <t>Trái nghĩa với 'nuclear family' (gia đình hạt nhân chỉ gồm bố mẹ và con cái).</t>
        </is>
      </c>
    </row>
    <row r="10" ht="42" customHeight="1">
      <c r="A10" s="2" t="inlineStr">
        <is>
          <t>Unit 2: The Generation Gap</t>
        </is>
      </c>
      <c r="B10" s="3" t="inlineStr">
        <is>
          <t>curfew</t>
        </is>
      </c>
      <c r="C10" s="4" t="inlineStr">
        <is>
          <t>noun</t>
        </is>
      </c>
      <c r="D10" s="2" t="inlineStr">
        <is>
          <t>/ˈkɜː.fjuː/</t>
        </is>
      </c>
      <c r="E10" s="5" t="inlineStr">
        <is>
          <t>Giờ giới nghiêm (giờ quy định phải có mặt ở nhà vào buổi tối)</t>
        </is>
      </c>
      <c r="F10" s="6" t="inlineStr">
        <is>
          <t>B2</t>
        </is>
      </c>
      <c r="G10" s="5" t="inlineStr">
        <is>
          <t>My parents set a strict 10 PM curfew on weekdays to ensure I get enough rest.</t>
        </is>
      </c>
      <c r="H10" s="5" t="inlineStr">
        <is>
          <t>closing hour, home-coming deadline</t>
        </is>
      </c>
      <c r="I10" s="5" t="inlineStr">
        <is>
          <t>freedom of movement</t>
        </is>
      </c>
      <c r="J10" s="5" t="inlineStr">
        <is>
          <t>set a curfew, break the curfew, impose a curfew, strict curfew</t>
        </is>
      </c>
      <c r="K10" s="5" t="inlineStr">
        <is>
          <t>Cụm từ: 'impose a curfew on someone' (áp đặt giờ giới nghiêm).</t>
        </is>
      </c>
    </row>
    <row r="11" ht="42" customHeight="1">
      <c r="A11" s="7" t="inlineStr">
        <is>
          <t>Unit 2: The Generation Gap</t>
        </is>
      </c>
      <c r="B11" s="8" t="inlineStr">
        <is>
          <t>open-minded</t>
        </is>
      </c>
      <c r="C11" s="9" t="inlineStr">
        <is>
          <t>adjective</t>
        </is>
      </c>
      <c r="D11" s="7" t="inlineStr">
        <is>
          <t>/ˌəʊ.pənˈmaɪn.dɪd/</t>
        </is>
      </c>
      <c r="E11" s="10" t="inlineStr">
        <is>
          <t>Cởi mở, sẵn sàng lắng nghe và tiếp nhận ý kiến, quan điểm mới</t>
        </is>
      </c>
      <c r="F11" s="11" t="inlineStr">
        <is>
          <t>B2</t>
        </is>
      </c>
      <c r="G11" s="10" t="inlineStr">
        <is>
          <t>Modern parents tend to be more open-minded regarding their children's career choices.</t>
        </is>
      </c>
      <c r="H11" s="10" t="inlineStr">
        <is>
          <t>receptive, broad-minded, progressive, tolerant</t>
        </is>
      </c>
      <c r="I11" s="10" t="inlineStr">
        <is>
          <t>narrow-minded, conservative, rigid, dogmatic</t>
        </is>
      </c>
      <c r="J11" s="10" t="inlineStr">
        <is>
          <t>be open-minded about, open-minded attitude, remain open-minded</t>
        </is>
      </c>
      <c r="K11" s="10" t="inlineStr">
        <is>
          <t>Trái nghĩa là 'narrow-minded' hoặc 'conservative' (bảo thủ).</t>
        </is>
      </c>
    </row>
    <row r="12" ht="42" customHeight="1">
      <c r="A12" s="2" t="inlineStr">
        <is>
          <t>Unit 2: The Generation Gap</t>
        </is>
      </c>
      <c r="B12" s="3" t="inlineStr">
        <is>
          <t>conflict</t>
        </is>
      </c>
      <c r="C12" s="4" t="inlineStr">
        <is>
          <t>noun/verb</t>
        </is>
      </c>
      <c r="D12" s="2" t="inlineStr">
        <is>
          <t>/ˈkɒn.flɪkt/</t>
        </is>
      </c>
      <c r="E12" s="5" t="inlineStr">
        <is>
          <t>Xung đột, mâu thuẫn / Xảy ra va chạm, bất đồng quan điểm</t>
        </is>
      </c>
      <c r="F12" s="6" t="inlineStr">
        <is>
          <t>B1</t>
        </is>
      </c>
      <c r="G12" s="5" t="inlineStr">
        <is>
          <t>Disagreements over table manners and screen time often cause family conflicts.</t>
        </is>
      </c>
      <c r="H12" s="5" t="inlineStr">
        <is>
          <t>dispute, discord, clash, friction</t>
        </is>
      </c>
      <c r="I12" s="5" t="inlineStr">
        <is>
          <t>harmony, consensus, agreement, peace</t>
        </is>
      </c>
      <c r="J12" s="5" t="inlineStr">
        <is>
          <t>resolve a conflict, family conflict, generate conflict, conflict with parents</t>
        </is>
      </c>
      <c r="K12" s="5" t="inlineStr">
        <is>
          <t>Danh từ nhấn âm 1 /ˈkɒn.flɪkt/, động từ nhấn âm 2 /kənˈflɪkt/.</t>
        </is>
      </c>
    </row>
    <row r="13" ht="42" customHeight="1">
      <c r="A13" s="7" t="inlineStr">
        <is>
          <t>Unit 2: The Generation Gap</t>
        </is>
      </c>
      <c r="B13" s="8" t="inlineStr">
        <is>
          <t>financial independence</t>
        </is>
      </c>
      <c r="C13" s="9" t="inlineStr">
        <is>
          <t>noun phrase</t>
        </is>
      </c>
      <c r="D13" s="7" t="inlineStr">
        <is>
          <t>/faɪˈnæn.ʃəl ˌɪn.dɪˈpen.dəns/</t>
        </is>
      </c>
      <c r="E13" s="10" t="inlineStr">
        <is>
          <t>Sự tự chủ tài chính, khả năng tự kiếm tiền và trang trải cuộc sống</t>
        </is>
      </c>
      <c r="F13" s="11" t="inlineStr">
        <is>
          <t>B2</t>
        </is>
      </c>
      <c r="G13" s="10" t="inlineStr">
        <is>
          <t>Achieving financial independence allows young adults to make their own life choices freely.</t>
        </is>
      </c>
      <c r="H13" s="10" t="inlineStr">
        <is>
          <t>economic self-reliance, financial autonomy</t>
        </is>
      </c>
      <c r="I13" s="10" t="inlineStr">
        <is>
          <t>financial dependence, reliance on parents</t>
        </is>
      </c>
      <c r="J13" s="10" t="inlineStr">
        <is>
          <t>achieve financial independence, gain financial independence, strive for financial independence</t>
        </is>
      </c>
      <c r="K13" s="10" t="inlineStr">
        <is>
          <t>Động từ 'achieve / gain / attain financial independence'.</t>
        </is>
      </c>
    </row>
    <row r="14" ht="42" customHeight="1">
      <c r="A14" s="2" t="inlineStr">
        <is>
          <t>Unit 3: Cities of the Future</t>
        </is>
      </c>
      <c r="B14" s="3" t="inlineStr">
        <is>
          <t>smart city</t>
        </is>
      </c>
      <c r="C14" s="4" t="inlineStr">
        <is>
          <t>noun phrase</t>
        </is>
      </c>
      <c r="D14" s="2" t="inlineStr">
        <is>
          <t>/ˈsmɑːt ˌsɪt.i/</t>
        </is>
      </c>
      <c r="E14" s="5" t="inlineStr">
        <is>
          <t>Đô thị thông minh (thành phố ứng dụng công nghệ IoT và AI để quản lý)</t>
        </is>
      </c>
      <c r="F14" s="6" t="inlineStr">
        <is>
          <t>B2</t>
        </is>
      </c>
      <c r="G14" s="5" t="inlineStr">
        <is>
          <t>Smart cities utilize sensor networks to optimize traffic flow and reduce power consumption.</t>
        </is>
      </c>
      <c r="H14" s="5" t="inlineStr">
        <is>
          <t>digital city, intelligent city, cyber city</t>
        </is>
      </c>
      <c r="I14" s="5" t="inlineStr">
        <is>
          <t>conventional city, unplanned metropolis</t>
        </is>
      </c>
      <c r="J14" s="5" t="inlineStr">
        <is>
          <t>build a smart city, smart city technology, smart city infrastructure</t>
        </is>
      </c>
      <c r="K14" s="5" t="inlineStr">
        <is>
          <t>Khái niệm đô thị hóa hiện đại xuyên suốt Unit 3.</t>
        </is>
      </c>
    </row>
    <row r="15" ht="42" customHeight="1">
      <c r="A15" s="7" t="inlineStr">
        <is>
          <t>Unit 3: Cities of the Future</t>
        </is>
      </c>
      <c r="B15" s="8" t="inlineStr">
        <is>
          <t>infrastructure</t>
        </is>
      </c>
      <c r="C15" s="9" t="inlineStr">
        <is>
          <t>noun</t>
        </is>
      </c>
      <c r="D15" s="7" t="inlineStr">
        <is>
          <t>/ˈɪn.frəˌstrʌk.tʃər/</t>
        </is>
      </c>
      <c r="E15" s="10" t="inlineStr">
        <is>
          <t>Cơ sở hạ tầng (hệ thống giao thông, điện nước, viễn thông công cộng)</t>
        </is>
      </c>
      <c r="F15" s="11" t="inlineStr">
        <is>
          <t>B2</t>
        </is>
      </c>
      <c r="G15" s="10" t="inlineStr">
        <is>
          <t>The government is investing billions of dollars in upgrading urban transport infrastructure.</t>
        </is>
      </c>
      <c r="H15" s="10" t="inlineStr">
        <is>
          <t>basic framework, public amenities, municipal facilities</t>
        </is>
      </c>
      <c r="I15" s="10" t="inlineStr">
        <is>
          <t>superstructure</t>
        </is>
      </c>
      <c r="J15" s="10" t="inlineStr">
        <is>
          <t>transport infrastructure, modern infrastructure, upgrade infrastructure, green infrastructure</t>
        </is>
      </c>
      <c r="K15" s="10" t="inlineStr">
        <is>
          <t>Trọng âm 1: IN-fra-struc-ture. Danh từ không đếm được.</t>
        </is>
      </c>
    </row>
    <row r="16" ht="42" customHeight="1">
      <c r="A16" s="2" t="inlineStr">
        <is>
          <t>Unit 3: Cities of the Future</t>
        </is>
      </c>
      <c r="B16" s="3" t="inlineStr">
        <is>
          <t>livable</t>
        </is>
      </c>
      <c r="C16" s="4" t="inlineStr">
        <is>
          <t>adjective</t>
        </is>
      </c>
      <c r="D16" s="2" t="inlineStr">
        <is>
          <t>/ˈlɪv.ə.bəl/</t>
        </is>
      </c>
      <c r="E16" s="5" t="inlineStr">
        <is>
          <t>Đáng sống, có môi trường sống trong lành và tiện nghi</t>
        </is>
      </c>
      <c r="F16" s="6" t="inlineStr">
        <is>
          <t>B2</t>
        </is>
      </c>
      <c r="G16" s="5" t="inlineStr">
        <is>
          <t>Da Nang is consistently voted as one of the most livable cities in Vietnam.</t>
        </is>
      </c>
      <c r="H16" s="5" t="inlineStr">
        <is>
          <t>habitable, comfortable, pleasant, hospitable</t>
        </is>
      </c>
      <c r="I16" s="5" t="inlineStr">
        <is>
          <t>unlivable, inhospitable, uninhabitable</t>
        </is>
      </c>
      <c r="J16" s="5" t="inlineStr">
        <is>
          <t>most livable city, livable environment, create a livable community</t>
        </is>
      </c>
      <c r="K16" s="5" t="inlineStr">
        <is>
          <t>Có 2 cách viết: livable hoặc liveable. Danh từ: livability.</t>
        </is>
      </c>
    </row>
    <row r="17" ht="42" customHeight="1">
      <c r="A17" s="7" t="inlineStr">
        <is>
          <t>Unit 3: Cities of the Future</t>
        </is>
      </c>
      <c r="B17" s="8" t="inlineStr">
        <is>
          <t>urban planner</t>
        </is>
      </c>
      <c r="C17" s="9" t="inlineStr">
        <is>
          <t>noun phrase</t>
        </is>
      </c>
      <c r="D17" s="7" t="inlineStr">
        <is>
          <t>/ˌɜː.bən ˈplæn.ər/</t>
        </is>
      </c>
      <c r="E17" s="10" t="inlineStr">
        <is>
          <t>Chuyên gia quy hoạch đô thị</t>
        </is>
      </c>
      <c r="F17" s="11" t="inlineStr">
        <is>
          <t>B2</t>
        </is>
      </c>
      <c r="G17" s="10" t="inlineStr">
        <is>
          <t>Urban planners are designing more pedestrian streets and rooftop gardens to counter heat.</t>
        </is>
      </c>
      <c r="H17" s="10" t="inlineStr">
        <is>
          <t>city planner, municipal designer</t>
        </is>
      </c>
      <c r="I17" s="10" t="inlineStr">
        <is>
          <t>N/A</t>
        </is>
      </c>
      <c r="J17" s="10" t="inlineStr">
        <is>
          <t>consult an urban planner, urban planner team, vision of urban planners</t>
        </is>
      </c>
      <c r="K17" s="10" t="inlineStr">
        <is>
          <t>Urban (thuộc đô thị) &gt;&lt; Rural (thuộc nông thôn). Urbanization = sự đô thị hóa.</t>
        </is>
      </c>
    </row>
    <row r="18" ht="42" customHeight="1">
      <c r="A18" s="2" t="inlineStr">
        <is>
          <t>Unit 3: Cities of the Future</t>
        </is>
      </c>
      <c r="B18" s="3" t="inlineStr">
        <is>
          <t>pedestrian zone</t>
        </is>
      </c>
      <c r="C18" s="4" t="inlineStr">
        <is>
          <t>noun phrase</t>
        </is>
      </c>
      <c r="D18" s="2" t="inlineStr">
        <is>
          <t>/pəˈdes.tri.ən zəʊn/</t>
        </is>
      </c>
      <c r="E18" s="5" t="inlineStr">
        <is>
          <t>Phố đi bộ, khu vực dành riêng cho người đi bộ cấm xe cơ giới</t>
        </is>
      </c>
      <c r="F18" s="6" t="inlineStr">
        <is>
          <t>B1</t>
        </is>
      </c>
      <c r="G18" s="5" t="inlineStr">
        <is>
          <t>The pedestrian zone around Hoan Kiem Lake attracts massive crowds on weekends.</t>
        </is>
      </c>
      <c r="H18" s="5" t="inlineStr">
        <is>
          <t>car-free zone, walking street, pedestrian precinct</t>
        </is>
      </c>
      <c r="I18" s="5" t="inlineStr">
        <is>
          <t>motorway, highway</t>
        </is>
      </c>
      <c r="J18" s="5" t="inlineStr">
        <is>
          <t>create a pedestrian zone, walk in a pedestrian zone, designated pedestrian zone</t>
        </is>
      </c>
      <c r="K18" s="5" t="inlineStr">
        <is>
          <t>'Pedestrian' là người đi bộ (noun) hoặc thuộc người đi bộ (adj).</t>
        </is>
      </c>
    </row>
    <row r="19" ht="42" customHeight="1">
      <c r="A19" s="7" t="inlineStr">
        <is>
          <t>Unit 3: Cities of the Future</t>
        </is>
      </c>
      <c r="B19" s="8" t="inlineStr">
        <is>
          <t>sensor</t>
        </is>
      </c>
      <c r="C19" s="9" t="inlineStr">
        <is>
          <t>noun</t>
        </is>
      </c>
      <c r="D19" s="7" t="inlineStr">
        <is>
          <t>/ˈsen.sər/</t>
        </is>
      </c>
      <c r="E19" s="10" t="inlineStr">
        <is>
          <t>Cảm biến, thiết bị cảm ứng thông minh</t>
        </is>
      </c>
      <c r="F19" s="11" t="inlineStr">
        <is>
          <t>B2</t>
        </is>
      </c>
      <c r="G19" s="10" t="inlineStr">
        <is>
          <t>Automated streetlights with motion sensors only turn on when vehicles or pedestrians approach.</t>
        </is>
      </c>
      <c r="H19" s="10" t="inlineStr">
        <is>
          <t>detector, sensing device, transducer</t>
        </is>
      </c>
      <c r="I19" s="10" t="inlineStr">
        <is>
          <t>N/A</t>
        </is>
      </c>
      <c r="J19" s="10" t="inlineStr">
        <is>
          <t>temperature sensor, motion sensor, smart sensor, sensor network</t>
        </is>
      </c>
      <c r="K19" s="10" t="inlineStr">
        <is>
          <t>Động từ là 'sense' (cảm nhận, nhận biết).</t>
        </is>
      </c>
    </row>
    <row r="20" ht="42" customHeight="1">
      <c r="A20" s="2" t="inlineStr">
        <is>
          <t>Unit 4: ASEAN and Viet Nam</t>
        </is>
      </c>
      <c r="B20" s="3" t="inlineStr">
        <is>
          <t>bloc</t>
        </is>
      </c>
      <c r="C20" s="4" t="inlineStr">
        <is>
          <t>noun</t>
        </is>
      </c>
      <c r="D20" s="2" t="inlineStr">
        <is>
          <t>/blɒk/</t>
        </is>
      </c>
      <c r="E20" s="5" t="inlineStr">
        <is>
          <t>Khối liên minh các quốc gia có chung lợi ích chính trị, kinh tế</t>
        </is>
      </c>
      <c r="F20" s="6" t="inlineStr">
        <is>
          <t>B2</t>
        </is>
      </c>
      <c r="G20" s="5" t="inlineStr">
        <is>
          <t>ASEAN is a dynamic regional bloc comprising ten Southeast Asian nations.</t>
        </is>
      </c>
      <c r="H20" s="5" t="inlineStr">
        <is>
          <t>alliance, coalition, union, confederation</t>
        </is>
      </c>
      <c r="I20" s="5" t="inlineStr">
        <is>
          <t>individual state, faction</t>
        </is>
      </c>
      <c r="J20" s="5" t="inlineStr">
        <is>
          <t>regional bloc, trading bloc, ASEAN bloc, economic bloc</t>
        </is>
      </c>
      <c r="K20" s="5" t="inlineStr">
        <is>
          <t>Phân biệt với 'block' (khối nhà/chặn). Cùng phát âm /blɒk/.</t>
        </is>
      </c>
    </row>
    <row r="21" ht="42" customHeight="1">
      <c r="A21" s="7" t="inlineStr">
        <is>
          <t>Unit 4: ASEAN and Viet Nam</t>
        </is>
      </c>
      <c r="B21" s="8" t="inlineStr">
        <is>
          <t>charter</t>
        </is>
      </c>
      <c r="C21" s="9" t="inlineStr">
        <is>
          <t>noun</t>
        </is>
      </c>
      <c r="D21" s="7" t="inlineStr">
        <is>
          <t>/ˈtʃɑː.tər/</t>
        </is>
      </c>
      <c r="E21" s="10" t="inlineStr">
        <is>
          <t>Hiến chương, văn kiện mang tính pháp lý quy định mục tiêu và nguyên tắc hoạt động</t>
        </is>
      </c>
      <c r="F21" s="11" t="inlineStr">
        <is>
          <t>B2</t>
        </is>
      </c>
      <c r="G21" s="10" t="inlineStr">
        <is>
          <t>The ASEAN Charter entered into force in 2008 to provide a legal framework for the bloc.</t>
        </is>
      </c>
      <c r="H21" s="10" t="inlineStr">
        <is>
          <t>constitution, formal covenant, founding treaty</t>
        </is>
      </c>
      <c r="I21" s="10" t="inlineStr">
        <is>
          <t>N/A</t>
        </is>
      </c>
      <c r="J21" s="10" t="inlineStr">
        <is>
          <t>sign a charter, ASEAN Charter, UN Charter, constitutional charter</t>
        </is>
      </c>
      <c r="K21" s="10" t="inlineStr">
        <is>
          <t>Trọng âm 1. Cụm từ: 'charter member' (thành viên sáng lập).</t>
        </is>
      </c>
    </row>
    <row r="22" ht="42" customHeight="1">
      <c r="A22" s="2" t="inlineStr">
        <is>
          <t>Unit 4: ASEAN and Viet Nam</t>
        </is>
      </c>
      <c r="B22" s="3" t="inlineStr">
        <is>
          <t>solidarity</t>
        </is>
      </c>
      <c r="C22" s="4" t="inlineStr">
        <is>
          <t>noun</t>
        </is>
      </c>
      <c r="D22" s="2" t="inlineStr">
        <is>
          <t>/ˌsɒl.ɪˈdær.ə.ti/</t>
        </is>
      </c>
      <c r="E22" s="5" t="inlineStr">
        <is>
          <t>Sự đoàn kết, tinh thần tương thân tương ái giữa các thành viên</t>
        </is>
      </c>
      <c r="F22" s="6" t="inlineStr">
        <is>
          <t>B2</t>
        </is>
      </c>
      <c r="G22" s="5" t="inlineStr">
        <is>
          <t>ASEAN member states consistently demonstrate strong solidarity during natural disasters.</t>
        </is>
      </c>
      <c r="H22" s="5" t="inlineStr">
        <is>
          <t>unity, cohesion, harmony, mutual support</t>
        </is>
      </c>
      <c r="I22" s="5" t="inlineStr">
        <is>
          <t>division, discord, disunity, antagonism</t>
        </is>
      </c>
      <c r="J22" s="5" t="inlineStr">
        <is>
          <t>show solidarity with, ASEAN solidarity, international solidarity, promote solidarity</t>
        </is>
      </c>
      <c r="K22" s="5" t="inlineStr">
        <is>
          <t>Trọng âm 3: sol-i-DAR-i-ty.</t>
        </is>
      </c>
    </row>
    <row r="23" ht="42" customHeight="1">
      <c r="A23" s="7" t="inlineStr">
        <is>
          <t>Unit 4: ASEAN and Viet Nam</t>
        </is>
      </c>
      <c r="B23" s="8" t="inlineStr">
        <is>
          <t>cultural exchange</t>
        </is>
      </c>
      <c r="C23" s="9" t="inlineStr">
        <is>
          <t>noun phrase</t>
        </is>
      </c>
      <c r="D23" s="7" t="inlineStr">
        <is>
          <t>/ˌkʌl.tʃər.əl ɪksˈtʃeɪndʒ/</t>
        </is>
      </c>
      <c r="E23" s="10" t="inlineStr">
        <is>
          <t>Giao lưu văn hóa (chương trình chia sẻ truyền thống, nghệ thuật giữa các nước)</t>
        </is>
      </c>
      <c r="F23" s="11" t="inlineStr">
        <is>
          <t>B1</t>
        </is>
      </c>
      <c r="G23" s="10" t="inlineStr">
        <is>
          <t>The ASEAN Youth Camp promotes cultural exchange and mutual respect among young delegates.</t>
        </is>
      </c>
      <c r="H23" s="10" t="inlineStr">
        <is>
          <t>cross-cultural sharing, intercultural dialogue</t>
        </is>
      </c>
      <c r="I23" s="10" t="inlineStr">
        <is>
          <t>cultural isolation, ethnocentrism</t>
        </is>
      </c>
      <c r="J23" s="10" t="inlineStr">
        <is>
          <t>organize cultural exchange, participate in cultural exchange, student cultural exchange</t>
        </is>
      </c>
      <c r="K23" s="10" t="inlineStr">
        <is>
          <t>Cụm từ rất hay gặp trong bài thi nói về hội nhập quốc tế.</t>
        </is>
      </c>
    </row>
    <row r="24" ht="42" customHeight="1">
      <c r="A24" s="2" t="inlineStr">
        <is>
          <t>Unit 4: ASEAN and Viet Nam</t>
        </is>
      </c>
      <c r="B24" s="3" t="inlineStr">
        <is>
          <t>volunteer</t>
        </is>
      </c>
      <c r="C24" s="4" t="inlineStr">
        <is>
          <t>verb/noun</t>
        </is>
      </c>
      <c r="D24" s="2" t="inlineStr">
        <is>
          <t>/ˌvɒl.ənˈtɪər/</t>
        </is>
      </c>
      <c r="E24" s="5" t="inlineStr">
        <is>
          <t>Tình nguyện làm việc gì / Tình nguyện viên</t>
        </is>
      </c>
      <c r="F24" s="6" t="inlineStr">
        <is>
          <t>A2</t>
        </is>
      </c>
      <c r="G24" s="5" t="inlineStr">
        <is>
          <t>Many Vietnamese youths volunteer to teach English to underprivileged children across ASEAN.</t>
        </is>
      </c>
      <c r="H24" s="5" t="inlineStr">
        <is>
          <t>offer services, unpaid worker, humanitarian helper</t>
        </is>
      </c>
      <c r="I24" s="5" t="inlineStr">
        <is>
          <t>compulsory worker, forced laborer</t>
        </is>
      </c>
      <c r="J24" s="5" t="inlineStr">
        <is>
          <t>youth volunteer, volunteer for a mission, international volunteer, voluntary work</t>
        </is>
      </c>
      <c r="K24" s="5" t="inlineStr">
        <is>
          <t>Tính từ: 'voluntary' /ˈvɒl.ən.tri/ (tự nguyện).</t>
        </is>
      </c>
    </row>
    <row r="25" ht="42" customHeight="1">
      <c r="A25" s="7" t="inlineStr">
        <is>
          <t>Unit 4: ASEAN and Viet Nam</t>
        </is>
      </c>
      <c r="B25" s="8" t="inlineStr">
        <is>
          <t>motto</t>
        </is>
      </c>
      <c r="C25" s="9" t="inlineStr">
        <is>
          <t>noun</t>
        </is>
      </c>
      <c r="D25" s="7" t="inlineStr">
        <is>
          <t>/ˈmɒt.əʊ/</t>
        </is>
      </c>
      <c r="E25" s="10" t="inlineStr">
        <is>
          <t>Khẩu hiệu, phương châm hành động</t>
        </is>
      </c>
      <c r="F25" s="11" t="inlineStr">
        <is>
          <t>B2</t>
        </is>
      </c>
      <c r="G25" s="10" t="inlineStr">
        <is>
          <t>'One Vision, One Identity, One Community' is the official motto of ASEAN.</t>
        </is>
      </c>
      <c r="H25" s="10" t="inlineStr">
        <is>
          <t>slogan, maxim, watchword, guiding principle</t>
        </is>
      </c>
      <c r="I25" s="10" t="inlineStr">
        <is>
          <t>N/A</t>
        </is>
      </c>
      <c r="J25" s="10" t="inlineStr">
        <is>
          <t>official motto, adopt a motto, live by a motto</t>
        </is>
      </c>
      <c r="K25" s="10" t="inlineStr">
        <is>
          <t>Số nhiều: mottos hoặc mottoes.</t>
        </is>
      </c>
    </row>
    <row r="26" ht="42" customHeight="1">
      <c r="A26" s="2" t="inlineStr">
        <is>
          <t>Unit 5: Global Warming</t>
        </is>
      </c>
      <c r="B26" s="3" t="inlineStr">
        <is>
          <t>greenhouse gas emission</t>
        </is>
      </c>
      <c r="C26" s="4" t="inlineStr">
        <is>
          <t>noun phrase</t>
        </is>
      </c>
      <c r="D26" s="2" t="inlineStr">
        <is>
          <t>/ˈɡriːn.haʊs ɡæs ɪˈmɪʃ.ən/</t>
        </is>
      </c>
      <c r="E26" s="5" t="inlineStr">
        <is>
          <t>Lượng khí thải nhà kính (CO2, Methane làm thủng tầng ozone và nóng lên toàn cầu)</t>
        </is>
      </c>
      <c r="F26" s="6" t="inlineStr">
        <is>
          <t>B2</t>
        </is>
      </c>
      <c r="G26" s="5" t="inlineStr">
        <is>
          <t>Governments have pledged to cut greenhouse gas emissions to achieve net-zero targets.</t>
        </is>
      </c>
      <c r="H26" s="5" t="inlineStr">
        <is>
          <t>carbon emission, atmospheric pollution</t>
        </is>
      </c>
      <c r="I26" s="5" t="inlineStr">
        <is>
          <t>emission reduction, carbon absorption</t>
        </is>
      </c>
      <c r="J26" s="5" t="inlineStr">
        <is>
          <t>cut greenhouse gas emissions, reduce emissions, major source of emissions</t>
        </is>
      </c>
      <c r="K26" s="5" t="inlineStr">
        <is>
          <t>Động từ là 'emit' /iˈmɪt/ (phát thải, tỏa ra).</t>
        </is>
      </c>
    </row>
    <row r="27" ht="42" customHeight="1">
      <c r="A27" s="7" t="inlineStr">
        <is>
          <t>Unit 5: Global Warming</t>
        </is>
      </c>
      <c r="B27" s="8" t="inlineStr">
        <is>
          <t>catastrophic</t>
        </is>
      </c>
      <c r="C27" s="9" t="inlineStr">
        <is>
          <t>adjective</t>
        </is>
      </c>
      <c r="D27" s="7" t="inlineStr">
        <is>
          <t>/ˌkæt.əˈstrɒf.ɪk/</t>
        </is>
      </c>
      <c r="E27" s="10" t="inlineStr">
        <is>
          <t>Thảm khốc, gây thảm họa tàn phá nặng nề</t>
        </is>
      </c>
      <c r="F27" s="11" t="inlineStr">
        <is>
          <t>B2</t>
        </is>
      </c>
      <c r="G27" s="10" t="inlineStr">
        <is>
          <t>Unchecked global warming could have catastrophic consequences for low-lying delta regions.</t>
        </is>
      </c>
      <c r="H27" s="10" t="inlineStr">
        <is>
          <t>disastrous, devastating, calamitous, ruinous</t>
        </is>
      </c>
      <c r="I27" s="10" t="inlineStr">
        <is>
          <t>beneficial, harmless, fortunate</t>
        </is>
      </c>
      <c r="J27" s="10" t="inlineStr">
        <is>
          <t>catastrophic impact, catastrophic consequences, catastrophic flood</t>
        </is>
      </c>
      <c r="K27" s="10" t="inlineStr">
        <is>
          <t>Danh từ là 'catastrophe' /kəˈtæs.trə.fi/ (thảm họa). Trọng âm rơi vào /strɒf/.</t>
        </is>
      </c>
    </row>
    <row r="28" ht="42" customHeight="1">
      <c r="A28" s="2" t="inlineStr">
        <is>
          <t>Unit 5: Global Warming</t>
        </is>
      </c>
      <c r="B28" s="3" t="inlineStr">
        <is>
          <t>deforestation</t>
        </is>
      </c>
      <c r="C28" s="4" t="inlineStr">
        <is>
          <t>noun</t>
        </is>
      </c>
      <c r="D28" s="2" t="inlineStr">
        <is>
          <t>/diːˌfɒr.ɪˈsteɪ.ʃən/</t>
        </is>
      </c>
      <c r="E28" s="5" t="inlineStr">
        <is>
          <t>Nạn phá rừng, sự tàn phá rừng quy mô lớn</t>
        </is>
      </c>
      <c r="F28" s="6" t="inlineStr">
        <is>
          <t>B2</t>
        </is>
      </c>
      <c r="G28" s="5" t="inlineStr">
        <is>
          <t>Deforestation in the Amazon rainforest releases millions of tons of trapped carbon dioxide.</t>
        </is>
      </c>
      <c r="H28" s="5" t="inlineStr">
        <is>
          <t>forest clearance, tree-felling, forest devastation</t>
        </is>
      </c>
      <c r="I28" s="5" t="inlineStr">
        <is>
          <t>afforestation (trồng rừng mới), reforestation (tái trồng rừng)</t>
        </is>
      </c>
      <c r="J28" s="5" t="inlineStr">
        <is>
          <t>combat deforestation, halt deforestation, rate of deforestation</t>
        </is>
      </c>
      <c r="K28" s="5" t="inlineStr">
        <is>
          <t>Tiền tố de- (hủy bỏ/làm giảm) + forest (rừng) + -ation (danh từ).</t>
        </is>
      </c>
    </row>
    <row r="29" ht="42" customHeight="1">
      <c r="A29" s="7" t="inlineStr">
        <is>
          <t>Unit 5: Global Warming</t>
        </is>
      </c>
      <c r="B29" s="8" t="inlineStr">
        <is>
          <t>heatwave</t>
        </is>
      </c>
      <c r="C29" s="9" t="inlineStr">
        <is>
          <t>noun</t>
        </is>
      </c>
      <c r="D29" s="7" t="inlineStr">
        <is>
          <t>/ˈhiːt.weɪv/</t>
        </is>
      </c>
      <c r="E29" s="10" t="inlineStr">
        <is>
          <t>Đợt nắng nóng gay gắt kéo dài bất thường</t>
        </is>
      </c>
      <c r="F29" s="11" t="inlineStr">
        <is>
          <t>B1</t>
        </is>
      </c>
      <c r="G29" s="10" t="inlineStr">
        <is>
          <t>Prolonged heatwaves during summer months pose serious health risks to elderly citizens.</t>
        </is>
      </c>
      <c r="H29" s="10" t="inlineStr">
        <is>
          <t>prolonged hot spell, thermal wave</t>
        </is>
      </c>
      <c r="I29" s="10" t="inlineStr">
        <is>
          <t>cold snap, freeze</t>
        </is>
      </c>
      <c r="J29" s="10" t="inlineStr">
        <is>
          <t>severe heatwave, endure a heatwave, record-breaking heatwave</t>
        </is>
      </c>
      <c r="K29" s="10" t="inlineStr">
        <is>
          <t>Viết liền một từ: heatwave (hoặc heat wave).</t>
        </is>
      </c>
    </row>
    <row r="30" ht="42" customHeight="1">
      <c r="A30" s="2" t="inlineStr">
        <is>
          <t>Unit 5: Global Warming</t>
        </is>
      </c>
      <c r="B30" s="3" t="inlineStr">
        <is>
          <t>fossil fuel</t>
        </is>
      </c>
      <c r="C30" s="4" t="inlineStr">
        <is>
          <t>noun phrase</t>
        </is>
      </c>
      <c r="D30" s="2" t="inlineStr">
        <is>
          <t>/ˈfɒs.əl ˌfjuː.əl/</t>
        </is>
      </c>
      <c r="E30" s="5" t="inlineStr">
        <is>
          <t>Nhiên liệu hóa thạch (than đá, dầu mỏ, khí đốt tự nhiên hình thành từ xác sinh vật)</t>
        </is>
      </c>
      <c r="F30" s="6" t="inlineStr">
        <is>
          <t>B1</t>
        </is>
      </c>
      <c r="G30" s="5" t="inlineStr">
        <is>
          <t>Transitioning from fossil fuels to clean renewable energy is vital to halt climate change.</t>
        </is>
      </c>
      <c r="H30" s="5" t="inlineStr">
        <is>
          <t>conventional energy, non-renewable energy</t>
        </is>
      </c>
      <c r="I30" s="5" t="inlineStr">
        <is>
          <t>renewable energy, green energy, solar/wind power</t>
        </is>
      </c>
      <c r="J30" s="5" t="inlineStr">
        <is>
          <t>burn fossil fuels, reliance on fossil fuels, phase out fossil fuels</t>
        </is>
      </c>
      <c r="K30" s="5" t="inlineStr">
        <is>
          <t>Cụm từ 'phase out fossil fuels' = loại bỏ dần nhiên liệu hóa thạch.</t>
        </is>
      </c>
    </row>
    <row r="31" ht="42" customHeight="1">
      <c r="A31" s="7" t="inlineStr">
        <is>
          <t>Unit 5: Global Warming</t>
        </is>
      </c>
      <c r="B31" s="8" t="inlineStr">
        <is>
          <t>melt</t>
        </is>
      </c>
      <c r="C31" s="9" t="inlineStr">
        <is>
          <t>verb</t>
        </is>
      </c>
      <c r="D31" s="7" t="inlineStr">
        <is>
          <t>/melt/</t>
        </is>
      </c>
      <c r="E31" s="10" t="inlineStr">
        <is>
          <t>Tan chảy (băng tuyết, sông băng do nhiệt độ tăng)</t>
        </is>
      </c>
      <c r="F31" s="11" t="inlineStr">
        <is>
          <t>A2</t>
        </is>
      </c>
      <c r="G31" s="10" t="inlineStr">
        <is>
          <t>Polar ice caps are melting at an alarming rate, causing global sea levels to rise.</t>
        </is>
      </c>
      <c r="H31" s="10" t="inlineStr">
        <is>
          <t>thaw, dissolve, liquefy</t>
        </is>
      </c>
      <c r="I31" s="10" t="inlineStr">
        <is>
          <t>freeze, solidify</t>
        </is>
      </c>
      <c r="J31" s="10" t="inlineStr">
        <is>
          <t>ice melts, glaciers melt, melting point, melting ice cap</t>
        </is>
      </c>
      <c r="K31" s="10" t="inlineStr">
        <is>
          <t>Phân từ tính từ: 'molten' (nóng chảy: molten lava) hoặc 'melted' (melted butter).</t>
        </is>
      </c>
    </row>
    <row r="32" ht="42" customHeight="1">
      <c r="A32" s="2" t="inlineStr">
        <is>
          <t>Unit 6: Preserving Heritage</t>
        </is>
      </c>
      <c r="B32" s="3" t="inlineStr">
        <is>
          <t>cultural heritage</t>
        </is>
      </c>
      <c r="C32" s="4" t="inlineStr">
        <is>
          <t>noun phrase</t>
        </is>
      </c>
      <c r="D32" s="2" t="inlineStr">
        <is>
          <t>/ˌkʌl.tʃər.əl ˈher.ɪ.tɪdʒ/</t>
        </is>
      </c>
      <c r="E32" s="5" t="inlineStr">
        <is>
          <t>Di sản văn hóa (truyền thống, kiến trúc, nghệ thuật truyền lại qua các thế hệ)</t>
        </is>
      </c>
      <c r="F32" s="6" t="inlineStr">
        <is>
          <t>B2</t>
        </is>
      </c>
      <c r="G32" s="5" t="inlineStr">
        <is>
          <t>Hoi An Ancient Town is celebrated as a UNESCO World Cultural Heritage site.</t>
        </is>
      </c>
      <c r="H32" s="5" t="inlineStr">
        <is>
          <t>cultural legacy, historical patrimony</t>
        </is>
      </c>
      <c r="I32" s="5" t="inlineStr">
        <is>
          <t>modern innovation</t>
        </is>
      </c>
      <c r="J32" s="5" t="inlineStr">
        <is>
          <t>tangible cultural heritage, intangible cultural heritage, preserve cultural heritage</t>
        </is>
      </c>
      <c r="K32" s="5" t="inlineStr">
        <is>
          <t>Phân biệt: tangible heritage (di sản hữu thể/vật thể) &amp; intangible heritage (phi vật thể).</t>
        </is>
      </c>
    </row>
    <row r="33" ht="42" customHeight="1">
      <c r="A33" s="7" t="inlineStr">
        <is>
          <t>Unit 6: Preserving Heritage</t>
        </is>
      </c>
      <c r="B33" s="8" t="inlineStr">
        <is>
          <t>restore</t>
        </is>
      </c>
      <c r="C33" s="9" t="inlineStr">
        <is>
          <t>verb</t>
        </is>
      </c>
      <c r="D33" s="7" t="inlineStr">
        <is>
          <t>/rɪˈstɔːr/</t>
        </is>
      </c>
      <c r="E33" s="10" t="inlineStr">
        <is>
          <t>Phục chế, trùng tu, khôi phục lại hiện trạng ban đầu của di tích</t>
        </is>
      </c>
      <c r="F33" s="11" t="inlineStr">
        <is>
          <t>B2</t>
        </is>
      </c>
      <c r="G33" s="10" t="inlineStr">
        <is>
          <t>Artisans worked painstakingly for years to restore the ancient pagoda after the fire.</t>
        </is>
      </c>
      <c r="H33" s="10" t="inlineStr">
        <is>
          <t>renovate, rehabilitate, reconstruct, repair</t>
        </is>
      </c>
      <c r="I33" s="10" t="inlineStr">
        <is>
          <t>demolish, destroy, ruin</t>
        </is>
      </c>
      <c r="J33" s="10" t="inlineStr">
        <is>
          <t>restore a monument, restore ancient paintings, restoration project</t>
        </is>
      </c>
      <c r="K33" s="10" t="inlineStr">
        <is>
          <t>Danh từ: 'restoration' /ˌres.tərˈeɪ.ʃən/ (công tác trùng tu, phục dựng).</t>
        </is>
      </c>
    </row>
    <row r="34" ht="42" customHeight="1">
      <c r="A34" s="2" t="inlineStr">
        <is>
          <t>Unit 6: Preserving Heritage</t>
        </is>
      </c>
      <c r="B34" s="3" t="inlineStr">
        <is>
          <t>intact</t>
        </is>
      </c>
      <c r="C34" s="4" t="inlineStr">
        <is>
          <t>adjective</t>
        </is>
      </c>
      <c r="D34" s="2" t="inlineStr">
        <is>
          <t>/ɪnˈtækt/</t>
        </is>
      </c>
      <c r="E34" s="5" t="inlineStr">
        <is>
          <t>Còn nguyên vẹn, không bị hư hại qua biến cố thời gian và chiến tranh</t>
        </is>
      </c>
      <c r="F34" s="6" t="inlineStr">
        <is>
          <t>B2</t>
        </is>
      </c>
      <c r="G34" s="5" t="inlineStr">
        <is>
          <t>Remarkably, the 500-year-old stone temple remained intact throughout the earthquake.</t>
        </is>
      </c>
      <c r="H34" s="5" t="inlineStr">
        <is>
          <t>undamaged, unbroken, whole, pristine, preserved</t>
        </is>
      </c>
      <c r="I34" s="5" t="inlineStr">
        <is>
          <t>damaged, broken, ruined, ruined</t>
        </is>
      </c>
      <c r="J34" s="5" t="inlineStr">
        <is>
          <t>remain intact, keep intact, leave something intact</t>
        </is>
      </c>
      <c r="K34" s="5" t="inlineStr">
        <is>
          <t>Trọng âm 2: in-TACT. Thường đi sau động từ nối: remain intact.</t>
        </is>
      </c>
    </row>
    <row r="35" ht="42" customHeight="1">
      <c r="A35" s="7" t="inlineStr">
        <is>
          <t>Unit 6: Preserving Heritage</t>
        </is>
      </c>
      <c r="B35" s="8" t="inlineStr">
        <is>
          <t>monument</t>
        </is>
      </c>
      <c r="C35" s="9" t="inlineStr">
        <is>
          <t>noun</t>
        </is>
      </c>
      <c r="D35" s="7" t="inlineStr">
        <is>
          <t>/ˈmɒn.jə.mənt/</t>
        </is>
      </c>
      <c r="E35" s="10" t="inlineStr">
        <is>
          <t>Tượng đài, đài kỷ niệm, công trình kiến trúc lịch sử</t>
        </is>
      </c>
      <c r="F35" s="11" t="inlineStr">
        <is>
          <t>B1</t>
        </is>
      </c>
      <c r="G35" s="10" t="inlineStr">
        <is>
          <t>Hue Citadel contains numerous historical monuments, royal tombs, and palaces.</t>
        </is>
      </c>
      <c r="H35" s="10" t="inlineStr">
        <is>
          <t>memorial, historic landmark, shrine</t>
        </is>
      </c>
      <c r="I35" s="10" t="inlineStr">
        <is>
          <t>N/A</t>
        </is>
      </c>
      <c r="J35" s="10" t="inlineStr">
        <is>
          <t>historical monument, ancient monument, national monument</t>
        </is>
      </c>
      <c r="K35" s="10" t="inlineStr">
        <is>
          <t>Tính từ: 'monumental' /ˌmɒn.jəˈmen.təl/ (vĩ đại, to lớn).</t>
        </is>
      </c>
    </row>
    <row r="36" ht="42" customHeight="1">
      <c r="A36" s="2" t="inlineStr">
        <is>
          <t>Unit 6: Preserving Heritage</t>
        </is>
      </c>
      <c r="B36" s="3" t="inlineStr">
        <is>
          <t>authentic</t>
        </is>
      </c>
      <c r="C36" s="4" t="inlineStr">
        <is>
          <t>adjective</t>
        </is>
      </c>
      <c r="D36" s="2" t="inlineStr">
        <is>
          <t>/ɔːˈθen.tɪk/</t>
        </is>
      </c>
      <c r="E36" s="5" t="inlineStr">
        <is>
          <t>Đích thực, nguyên bản, chuẩn xác theo truyền thống gốc</t>
        </is>
      </c>
      <c r="F36" s="6" t="inlineStr">
        <is>
          <t>B2</t>
        </is>
      </c>
      <c r="G36" s="5" t="inlineStr">
        <is>
          <t>Tourists flock to Bat Trang pottery village to purchase authentic handmade ceramics.</t>
        </is>
      </c>
      <c r="H36" s="5" t="inlineStr">
        <is>
          <t>genuine, original, real, bona fide</t>
        </is>
      </c>
      <c r="I36" s="5" t="inlineStr">
        <is>
          <t>fake, imitation, counterfeit, artificial</t>
        </is>
      </c>
      <c r="J36" s="5" t="inlineStr">
        <is>
          <t>authentic experience, authentic recipe, authentic artifact, prove authentic</t>
        </is>
      </c>
      <c r="K36" s="5" t="inlineStr">
        <is>
          <t>Danh từ: 'authenticity' /ˌɔː.θenˈtɪs.ə.ti/ (tính chân thực, tính xác thực).</t>
        </is>
      </c>
    </row>
    <row r="37" ht="42" customHeight="1">
      <c r="A37" s="7" t="inlineStr">
        <is>
          <t>Unit 6: Preserving Heritage</t>
        </is>
      </c>
      <c r="B37" s="8" t="inlineStr">
        <is>
          <t>folk music</t>
        </is>
      </c>
      <c r="C37" s="9" t="inlineStr">
        <is>
          <t>noun phrase</t>
        </is>
      </c>
      <c r="D37" s="7" t="inlineStr">
        <is>
          <t>/ˈfəʊk ˌmjuː.zɪk/</t>
        </is>
      </c>
      <c r="E37" s="10" t="inlineStr">
        <is>
          <t>Âm nhạc dân gian, làn điệu dân ca truyền thống (như Quan họ, Đờn ca tài tử)</t>
        </is>
      </c>
      <c r="F37" s="11" t="inlineStr">
        <is>
          <t>A2</t>
        </is>
      </c>
      <c r="G37" s="10" t="inlineStr">
        <is>
          <t>Quan Ho folk music was recognized by UNESCO as an Intangible Cultural Heritage of Humanity.</t>
        </is>
      </c>
      <c r="H37" s="10" t="inlineStr">
        <is>
          <t>traditional music, ethnic songs</t>
        </is>
      </c>
      <c r="I37" s="10" t="inlineStr">
        <is>
          <t>modern pop music</t>
        </is>
      </c>
      <c r="J37" s="10" t="inlineStr">
        <is>
          <t>traditional folk music, folk music performance, folk music preservation</t>
        </is>
      </c>
      <c r="K37" s="10" t="inlineStr">
        <is>
          <t>'Folk' là danh từ/tính từ chỉ những nét văn hóa dân gian bắt nguồn từ nhân dân.</t>
        </is>
      </c>
    </row>
    <row r="38" ht="42" customHeight="1">
      <c r="A38" s="2" t="inlineStr">
        <is>
          <t>Unit 7: Education for Leavers</t>
        </is>
      </c>
      <c r="B38" s="3" t="inlineStr">
        <is>
          <t>vocational training</t>
        </is>
      </c>
      <c r="C38" s="4" t="inlineStr">
        <is>
          <t>noun phrase</t>
        </is>
      </c>
      <c r="D38" s="2" t="inlineStr">
        <is>
          <t>/vəʊˈkeɪ.ʃən.əl ˈtreɪ.nɪŋ/</t>
        </is>
      </c>
      <c r="E38" s="5" t="inlineStr">
        <is>
          <t>Đào tạo nghề, học nghề thực hành kỹ năng kỹ thuật</t>
        </is>
      </c>
      <c r="F38" s="6" t="inlineStr">
        <is>
          <t>B2</t>
        </is>
      </c>
      <c r="G38" s="5" t="inlineStr">
        <is>
          <t>Vocational training offers a direct route into skilled technical careers like automotive engineering.</t>
        </is>
      </c>
      <c r="H38" s="5" t="inlineStr">
        <is>
          <t>career training, technical education, trade school</t>
        </is>
      </c>
      <c r="I38" s="5" t="inlineStr">
        <is>
          <t>purely academic education</t>
        </is>
      </c>
      <c r="J38" s="5" t="inlineStr">
        <is>
          <t>attend vocational training, vocational training school, vocational qualification</t>
        </is>
      </c>
      <c r="K38" s="5" t="inlineStr">
        <is>
          <t>Gốc từ: 'vocation' (nghề nghiệp phù hợp thiên hướng cá nhân).</t>
        </is>
      </c>
    </row>
    <row r="39" ht="42" customHeight="1">
      <c r="A39" s="7" t="inlineStr">
        <is>
          <t>Unit 7: Education for Leavers</t>
        </is>
      </c>
      <c r="B39" s="8" t="inlineStr">
        <is>
          <t>apprenticeship</t>
        </is>
      </c>
      <c r="C39" s="9" t="inlineStr">
        <is>
          <t>noun</t>
        </is>
      </c>
      <c r="D39" s="7" t="inlineStr">
        <is>
          <t>/əˈpren.tɪs.ʃɪp/</t>
        </is>
      </c>
      <c r="E39" s="10" t="inlineStr">
        <is>
          <t>Chế độ vừa học việc vừa làm có lương tại các doanh nghiệp</t>
        </is>
      </c>
      <c r="F39" s="11" t="inlineStr">
        <is>
          <t>B2</t>
        </is>
      </c>
      <c r="G39" s="10" t="inlineStr">
        <is>
          <t>Doing an apprenticeship gives school-leavers practical on-the-job experience and certification.</t>
        </is>
      </c>
      <c r="H39" s="10" t="inlineStr">
        <is>
          <t>traineeship, internship, on-the-job training</t>
        </is>
      </c>
      <c r="I39" s="10" t="inlineStr">
        <is>
          <t>full-time classroom study</t>
        </is>
      </c>
      <c r="J39" s="10" t="inlineStr">
        <is>
          <t>complete an apprenticeship, serve an apprenticeship, degree apprenticeship</t>
        </is>
      </c>
      <c r="K39" s="10" t="inlineStr">
        <is>
          <t>Người học việc là 'apprentice'. Trọng âm 2: ap-PREN-tice-ship.</t>
        </is>
      </c>
    </row>
    <row r="40" ht="42" customHeight="1">
      <c r="A40" s="2" t="inlineStr">
        <is>
          <t>Unit 7: Education for Leavers</t>
        </is>
      </c>
      <c r="B40" s="3" t="inlineStr">
        <is>
          <t>higher education</t>
        </is>
      </c>
      <c r="C40" s="4" t="inlineStr">
        <is>
          <t>noun phrase</t>
        </is>
      </c>
      <c r="D40" s="2" t="inlineStr">
        <is>
          <t>/ˌhaɪ.ər edʒ.uˈkeɪ.ʃən/</t>
        </is>
      </c>
      <c r="E40" s="5" t="inlineStr">
        <is>
          <t>Giáo dục bậc cao (bậc đại học và sau đại học)</t>
        </is>
      </c>
      <c r="F40" s="6" t="inlineStr">
        <is>
          <t>B2</t>
        </is>
      </c>
      <c r="G40" s="5" t="inlineStr">
        <is>
          <t>Many high school seniors aspire to pursue higher education at prestigious universities.</t>
        </is>
      </c>
      <c r="H40" s="5" t="inlineStr">
        <is>
          <t>tertiary education, university education</t>
        </is>
      </c>
      <c r="I40" s="5" t="inlineStr">
        <is>
          <t>secondary education, primary education</t>
        </is>
      </c>
      <c r="J40" s="5" t="inlineStr">
        <is>
          <t>pursue higher education, higher education institution, higher education degree</t>
        </is>
      </c>
      <c r="K40" s="5" t="inlineStr">
        <is>
          <t>Tertiary education là thuật ngữ học thuật đồng nghĩa của higher education.</t>
        </is>
      </c>
    </row>
    <row r="41" ht="42" customHeight="1">
      <c r="A41" s="7" t="inlineStr">
        <is>
          <t>Unit 7: Education for Leavers</t>
        </is>
      </c>
      <c r="B41" s="8" t="inlineStr">
        <is>
          <t>bachelor's degree</t>
        </is>
      </c>
      <c r="C41" s="9" t="inlineStr">
        <is>
          <t>noun phrase</t>
        </is>
      </c>
      <c r="D41" s="7" t="inlineStr">
        <is>
          <t>/ˈbætʃ.əl.əz dɪˌɡriː/</t>
        </is>
      </c>
      <c r="E41" s="10" t="inlineStr">
        <is>
          <t>Bằng cử nhân đại học (hoàn thành chương trình 3-4 năm)</t>
        </is>
      </c>
      <c r="F41" s="11" t="inlineStr">
        <is>
          <t>B1</t>
        </is>
      </c>
      <c r="G41" s="10" t="inlineStr">
        <is>
          <t>Holding a bachelor's degree in computer science opens up numerous lucrative job opportunities.</t>
        </is>
      </c>
      <c r="H41" s="10" t="inlineStr">
        <is>
          <t>undergraduate degree, BA / BSc</t>
        </is>
      </c>
      <c r="I41" s="10" t="inlineStr">
        <is>
          <t>master's degree (thạc sĩ), doctorate (tiến sĩ)</t>
        </is>
      </c>
      <c r="J41" s="10" t="inlineStr">
        <is>
          <t>earn a bachelor's degree, bachelor's degree in economics, hold a bachelor's degree</t>
        </is>
      </c>
      <c r="K41" s="10" t="inlineStr">
        <is>
          <t>BA: Bachelor of Arts (Cử nhân KH Xã hội), BSc: Bachelor of Science (Cử nhân KH Tự nhiên).</t>
        </is>
      </c>
    </row>
    <row r="42" ht="42" customHeight="1">
      <c r="A42" s="2" t="inlineStr">
        <is>
          <t>Unit 7: Education for Leavers</t>
        </is>
      </c>
      <c r="B42" s="3" t="inlineStr">
        <is>
          <t>tuition fee</t>
        </is>
      </c>
      <c r="C42" s="4" t="inlineStr">
        <is>
          <t>noun phrase</t>
        </is>
      </c>
      <c r="D42" s="2" t="inlineStr">
        <is>
          <t>/tjuːˈɪʃ.ən fiː/</t>
        </is>
      </c>
      <c r="E42" s="5" t="inlineStr">
        <is>
          <t>Học phí (khoản tiền phải trả cho việc học tại trường)</t>
        </is>
      </c>
      <c r="F42" s="6" t="inlineStr">
        <is>
          <t>B1</t>
        </is>
      </c>
      <c r="G42" s="5" t="inlineStr">
        <is>
          <t>Scholarships assist talented students in covering expensive university tuition fees.</t>
        </is>
      </c>
      <c r="H42" s="5" t="inlineStr">
        <is>
          <t>tuition costs, school fees</t>
        </is>
      </c>
      <c r="I42" s="5" t="inlineStr">
        <is>
          <t>scholarship, grant, financial aid</t>
        </is>
      </c>
      <c r="J42" s="5" t="inlineStr">
        <is>
          <t>pay tuition fees, affordable tuition fees, exempt from tuition fees</t>
        </is>
      </c>
      <c r="K42" s="5" t="inlineStr">
        <is>
          <t>Thường dùng ở dạng số nhiều: 'tuition fees'.</t>
        </is>
      </c>
    </row>
    <row r="43" ht="42" customHeight="1">
      <c r="A43" s="7" t="inlineStr">
        <is>
          <t>Unit 7: Education for Leavers</t>
        </is>
      </c>
      <c r="B43" s="8" t="inlineStr">
        <is>
          <t>qualification</t>
        </is>
      </c>
      <c r="C43" s="9" t="inlineStr">
        <is>
          <t>noun</t>
        </is>
      </c>
      <c r="D43" s="7" t="inlineStr">
        <is>
          <t>/ˌkwɒl.ɪ.fɪˈkeɪ.ʃən/</t>
        </is>
      </c>
      <c r="E43" s="10" t="inlineStr">
        <is>
          <t>Bằng cấp, chứng chỉ, trình độ chuyên môn đạt chuẩn</t>
        </is>
      </c>
      <c r="F43" s="11" t="inlineStr">
        <is>
          <t>B2</t>
        </is>
      </c>
      <c r="G43" s="10" t="inlineStr">
        <is>
          <t>Employers value candidates who possess strong practical skills alongside academic qualifications.</t>
        </is>
      </c>
      <c r="H43" s="10" t="inlineStr">
        <is>
          <t>credential, certificate, degree, diploma</t>
        </is>
      </c>
      <c r="I43" s="10" t="inlineStr">
        <is>
          <t>incompetence, lack of credentials</t>
        </is>
      </c>
      <c r="J43" s="10" t="inlineStr">
        <is>
          <t>gain qualifications, formal qualifications, professional qualification</t>
        </is>
      </c>
      <c r="K43" s="10" t="inlineStr">
        <is>
          <t>Động từ là 'qualify' (qualify for a job = đủ điều kiện làm việc).</t>
        </is>
      </c>
    </row>
    <row r="44" ht="42" customHeight="1">
      <c r="A44" s="2" t="inlineStr">
        <is>
          <t>Unit 8: Becoming Independent</t>
        </is>
      </c>
      <c r="B44" s="3" t="inlineStr">
        <is>
          <t>self-reliant</t>
        </is>
      </c>
      <c r="C44" s="4" t="inlineStr">
        <is>
          <t>adjective</t>
        </is>
      </c>
      <c r="D44" s="2" t="inlineStr">
        <is>
          <t>/ˌself.rɪˈlaɪ.ənt/</t>
        </is>
      </c>
      <c r="E44" s="5" t="inlineStr">
        <is>
          <t>Tự lực cánh sinh, tự dựa vào sức mình mà không phụ thuộc người khác</t>
        </is>
      </c>
      <c r="F44" s="6" t="inlineStr">
        <is>
          <t>B2</t>
        </is>
      </c>
      <c r="G44" s="5" t="inlineStr">
        <is>
          <t>Living away from home in a dormitory teaches college students to become self-reliant.</t>
        </is>
      </c>
      <c r="H44" s="5" t="inlineStr">
        <is>
          <t>independent, autonomous, self-sufficient</t>
        </is>
      </c>
      <c r="I44" s="5" t="inlineStr">
        <is>
          <t>dependent, reliant, helpless</t>
        </is>
      </c>
      <c r="J44" s="5" t="inlineStr">
        <is>
          <t>become self-reliant, self-reliant person, cultivate self-reliant habits</t>
        </is>
      </c>
      <c r="K44" s="5" t="inlineStr">
        <is>
          <t>Danh từ: 'self-reliance' (sự tự lực, lòng tự chủ).</t>
        </is>
      </c>
    </row>
    <row r="45" ht="42" customHeight="1">
      <c r="A45" s="7" t="inlineStr">
        <is>
          <t>Unit 8: Becoming Independent</t>
        </is>
      </c>
      <c r="B45" s="8" t="inlineStr">
        <is>
          <t>time management</t>
        </is>
      </c>
      <c r="C45" s="9" t="inlineStr">
        <is>
          <t>noun phrase</t>
        </is>
      </c>
      <c r="D45" s="7" t="inlineStr">
        <is>
          <t>/ˈtaɪm ˌmæn.ɪdʒ.mənt/</t>
        </is>
      </c>
      <c r="E45" s="10" t="inlineStr">
        <is>
          <t>Kỹ năng quản lý thời gian hiệu quả</t>
        </is>
      </c>
      <c r="F45" s="11" t="inlineStr">
        <is>
          <t>B1</t>
        </is>
      </c>
      <c r="G45" s="10" t="inlineStr">
        <is>
          <t>Mastering time management skills helps students balance exam revision and personal relaxation.</t>
        </is>
      </c>
      <c r="H45" s="10" t="inlineStr">
        <is>
          <t>scheduling efficiency, task prioritization</t>
        </is>
      </c>
      <c r="I45" s="10" t="inlineStr">
        <is>
          <t>procrastination, time-wasting</t>
        </is>
      </c>
      <c r="J45" s="10" t="inlineStr">
        <is>
          <t>time management skills, poor time management, effective time management</t>
        </is>
      </c>
      <c r="K45" s="10" t="inlineStr">
        <is>
          <t>Kỹ năng mềm hàng đầu được rèn luyện trong Unit 8.</t>
        </is>
      </c>
    </row>
    <row r="46" ht="42" customHeight="1">
      <c r="A46" s="2" t="inlineStr">
        <is>
          <t>Unit 8: Becoming Independent</t>
        </is>
      </c>
      <c r="B46" s="3" t="inlineStr">
        <is>
          <t>cope with</t>
        </is>
      </c>
      <c r="C46" s="4" t="inlineStr">
        <is>
          <t>phrasal verb</t>
        </is>
      </c>
      <c r="D46" s="2" t="inlineStr">
        <is>
          <t>/kəʊp wɪð/</t>
        </is>
      </c>
      <c r="E46" s="5" t="inlineStr">
        <is>
          <t>Đối phó, đương đầu và xử lý thành công áp lực hoặc khó khăn</t>
        </is>
      </c>
      <c r="F46" s="6" t="inlineStr">
        <is>
          <t>B2</t>
        </is>
      </c>
      <c r="G46" s="5" t="inlineStr">
        <is>
          <t>Counselors guide teenagers on how to cope with academic stress and peer pressure.</t>
        </is>
      </c>
      <c r="H46" s="5" t="inlineStr">
        <is>
          <t>deal with, manage, tackle, handle</t>
        </is>
      </c>
      <c r="I46" s="5" t="inlineStr">
        <is>
          <t>give up, collapse under pressure, surrender</t>
        </is>
      </c>
      <c r="J46" s="5" t="inlineStr">
        <is>
          <t>cope with stress, cope with difficulties, ability to cope with change</t>
        </is>
      </c>
      <c r="K46" s="5" t="inlineStr">
        <is>
          <t>Không dùng 'cope up with' (đây là lỗi ngữ pháp rất phổ biến của học sinh!). Luôn là 'cope with'.</t>
        </is>
      </c>
    </row>
    <row r="47" ht="42" customHeight="1">
      <c r="A47" s="7" t="inlineStr">
        <is>
          <t>Unit 8: Becoming Independent</t>
        </is>
      </c>
      <c r="B47" s="8" t="inlineStr">
        <is>
          <t>interpersonal skills</t>
        </is>
      </c>
      <c r="C47" s="9" t="inlineStr">
        <is>
          <t>noun phrase</t>
        </is>
      </c>
      <c r="D47" s="7" t="inlineStr">
        <is>
          <t>/ˌɪn.təˈpɜː.sən.əl skɪlz/</t>
        </is>
      </c>
      <c r="E47" s="10" t="inlineStr">
        <is>
          <t>Kỹ năng giao tiếp và ứng xử giữa người với người</t>
        </is>
      </c>
      <c r="F47" s="11" t="inlineStr">
        <is>
          <t>B2</t>
        </is>
      </c>
      <c r="G47" s="10" t="inlineStr">
        <is>
          <t>Strong interpersonal skills enable leaders to build trustworthy relationships with team members.</t>
        </is>
      </c>
      <c r="H47" s="10" t="inlineStr">
        <is>
          <t>social skills, people skills, communication skills</t>
        </is>
      </c>
      <c r="I47" s="10" t="inlineStr">
        <is>
          <t>social awkwardness</t>
        </is>
      </c>
      <c r="J47" s="10" t="inlineStr">
        <is>
          <t>develop interpersonal skills, excellent interpersonal skills, interpersonal communication</t>
        </is>
      </c>
      <c r="K47" s="10" t="inlineStr">
        <is>
          <t>Tiền tố inter- (giữa) + personal (cá nhân). Luôn dùng ở số nhiều.</t>
        </is>
      </c>
    </row>
    <row r="48" ht="42" customHeight="1">
      <c r="A48" s="2" t="inlineStr">
        <is>
          <t>Unit 8: Becoming Independent</t>
        </is>
      </c>
      <c r="B48" s="3" t="inlineStr">
        <is>
          <t>self-motivated</t>
        </is>
      </c>
      <c r="C48" s="4" t="inlineStr">
        <is>
          <t>adjective</t>
        </is>
      </c>
      <c r="D48" s="2" t="inlineStr">
        <is>
          <t>/ˌselfˈməʊ.tɪ.veɪ.tɪd/</t>
        </is>
      </c>
      <c r="E48" s="5" t="inlineStr">
        <is>
          <t>Tự có động lực, chủ động làm việc mà không cần ai thúc giục</t>
        </is>
      </c>
      <c r="F48" s="6" t="inlineStr">
        <is>
          <t>B2</t>
        </is>
      </c>
      <c r="G48" s="5" t="inlineStr">
        <is>
          <t>Self-motivated learners often achieve higher academic results through independent research.</t>
        </is>
      </c>
      <c r="H48" s="5" t="inlineStr">
        <is>
          <t>driven, ambitious, proactive, self-starting</t>
        </is>
      </c>
      <c r="I48" s="5" t="inlineStr">
        <is>
          <t>demotivated, passive, lazy</t>
        </is>
      </c>
      <c r="J48" s="5" t="inlineStr">
        <is>
          <t>self-motivated student, highly self-motivated, self-motivated worker</t>
        </is>
      </c>
      <c r="K48" s="5" t="inlineStr">
        <is>
          <t>Danh từ: 'self-motivation' (động lực nội tại).</t>
        </is>
      </c>
    </row>
    <row r="49" ht="42" customHeight="1">
      <c r="A49" s="7" t="inlineStr">
        <is>
          <t>Unit 8: Becoming Independent</t>
        </is>
      </c>
      <c r="B49" s="8" t="inlineStr">
        <is>
          <t>decision-making</t>
        </is>
      </c>
      <c r="C49" s="9" t="inlineStr">
        <is>
          <t>noun/adjective</t>
        </is>
      </c>
      <c r="D49" s="7" t="inlineStr">
        <is>
          <t>/dɪˈsɪʒ.ənˌmeɪ.kɪŋ/</t>
        </is>
      </c>
      <c r="E49" s="10" t="inlineStr">
        <is>
          <t>Kỹ năng ra quyết định / Quá trình đưa ra quyết định</t>
        </is>
      </c>
      <c r="F49" s="11" t="inlineStr">
        <is>
          <t>B2</t>
        </is>
      </c>
      <c r="G49" s="10" t="inlineStr">
        <is>
          <t>Critical thinking is the foundation of sound, rational decision-making.</t>
        </is>
      </c>
      <c r="H49" s="10" t="inlineStr">
        <is>
          <t>judgment, resolution, determination</t>
        </is>
      </c>
      <c r="I49" s="10" t="inlineStr">
        <is>
          <t>indecision, hesitation</t>
        </is>
      </c>
      <c r="J49" s="10" t="inlineStr">
        <is>
          <t>decision-making process, decision-making skills, rational decision-making</t>
        </is>
      </c>
      <c r="K49" s="10" t="inlineStr">
        <is>
          <t>Động từ là 'make a decision' (đưa ra quyết định).</t>
        </is>
      </c>
    </row>
    <row r="50" ht="42" customHeight="1">
      <c r="A50" s="2" t="inlineStr">
        <is>
          <t>Unit 9: Social Issues</t>
        </is>
      </c>
      <c r="B50" s="3" t="inlineStr">
        <is>
          <t>cyberbullying</t>
        </is>
      </c>
      <c r="C50" s="4" t="inlineStr">
        <is>
          <t>noun</t>
        </is>
      </c>
      <c r="D50" s="2" t="inlineStr">
        <is>
          <t>/ˈsaɪ.bəˌbʊl.i.ɪŋ/</t>
        </is>
      </c>
      <c r="E50" s="5" t="inlineStr">
        <is>
          <t>Bắt nạt qua mạng (hành vi xúc phạm, đe dọa người khác trên môi trường Internet)</t>
        </is>
      </c>
      <c r="F50" s="6" t="inlineStr">
        <is>
          <t>B2</t>
        </is>
      </c>
      <c r="G50" s="5" t="inlineStr">
        <is>
          <t>Schools must run awareness campaigns to educate students on preventing cyberbullying.</t>
        </is>
      </c>
      <c r="H50" s="5" t="inlineStr">
        <is>
          <t>online harassment, digital bullying, cyber harassment</t>
        </is>
      </c>
      <c r="I50" s="5" t="inlineStr">
        <is>
          <t>online support, digital empathy</t>
        </is>
      </c>
      <c r="J50" s="5" t="inlineStr">
        <is>
          <t>victim of cyberbullying, combat cyberbullying, stop cyberbullying</t>
        </is>
      </c>
      <c r="K50" s="5" t="inlineStr">
        <is>
          <t>Kẻ bắt nạt qua mạng là 'cyberbully'. Động từ: 'cyberbully'.</t>
        </is>
      </c>
    </row>
    <row r="51" ht="42" customHeight="1">
      <c r="A51" s="7" t="inlineStr">
        <is>
          <t>Unit 9: Social Issues</t>
        </is>
      </c>
      <c r="B51" s="8" t="inlineStr">
        <is>
          <t>peer pressure</t>
        </is>
      </c>
      <c r="C51" s="9" t="inlineStr">
        <is>
          <t>noun phrase</t>
        </is>
      </c>
      <c r="D51" s="7" t="inlineStr">
        <is>
          <t>/ˈpɪə ˌpreʃ.ər/</t>
        </is>
      </c>
      <c r="E51" s="10" t="inlineStr">
        <is>
          <t>Áp lực đồng trang lứa (áp lực phải làm theo bạn bè cùng tuổi để hòa nhập)</t>
        </is>
      </c>
      <c r="F51" s="11" t="inlineStr">
        <is>
          <t>B1</t>
        </is>
      </c>
      <c r="G51" s="10" t="inlineStr">
        <is>
          <t>Teenagers may pick up bad habits like smoking due to intense peer pressure.</t>
        </is>
      </c>
      <c r="H51" s="10" t="inlineStr">
        <is>
          <t>social pressure, classmate influence</t>
        </is>
      </c>
      <c r="I51" s="10" t="inlineStr">
        <is>
          <t>independent judgment, individuality</t>
        </is>
      </c>
      <c r="J51" s="10" t="inlineStr">
        <is>
          <t>succumb to peer pressure, resist peer pressure, negative peer pressure</t>
        </is>
      </c>
      <c r="K51" s="10" t="inlineStr">
        <is>
          <t>Động từ hay đi cùng: 'succumb to' (nhượng bộ) hoặc 'resist' (chống lại) peer pressure.</t>
        </is>
      </c>
    </row>
    <row r="52" ht="42" customHeight="1">
      <c r="A52" s="2" t="inlineStr">
        <is>
          <t>Unit 9: Social Issues</t>
        </is>
      </c>
      <c r="B52" s="3" t="inlineStr">
        <is>
          <t>poverty</t>
        </is>
      </c>
      <c r="C52" s="4" t="inlineStr">
        <is>
          <t>noun</t>
        </is>
      </c>
      <c r="D52" s="2" t="inlineStr">
        <is>
          <t>/ˈpɒv.ə.ti/</t>
        </is>
      </c>
      <c r="E52" s="5" t="inlineStr">
        <is>
          <t>Sự nghèo đói, tình trạng thiếu thốn điều kiện sống tối thiểu</t>
        </is>
      </c>
      <c r="F52" s="6" t="inlineStr">
        <is>
          <t>B1</t>
        </is>
      </c>
      <c r="G52" s="5" t="inlineStr">
        <is>
          <t>Education is the most powerful sustainable weapon to break the cycle of poverty.</t>
        </is>
      </c>
      <c r="H52" s="5" t="inlineStr">
        <is>
          <t>deprivation, destitution, indigence, hardship</t>
        </is>
      </c>
      <c r="I52" s="5" t="inlineStr">
        <is>
          <t>wealth, affluence, prosperity, richness</t>
        </is>
      </c>
      <c r="J52" s="5" t="inlineStr">
        <is>
          <t>eradicate poverty, live in poverty, poverty line, trap of poverty</t>
        </is>
      </c>
      <c r="K52" s="5" t="inlineStr">
        <is>
          <t>Tính từ: 'poor'. Thành ngữ: 'live below the poverty line' (sống dưới mức nghèo khổ).</t>
        </is>
      </c>
    </row>
    <row r="53" ht="42" customHeight="1">
      <c r="A53" s="7" t="inlineStr">
        <is>
          <t>Unit 9: Social Issues</t>
        </is>
      </c>
      <c r="B53" s="8" t="inlineStr">
        <is>
          <t>domestic violence</t>
        </is>
      </c>
      <c r="C53" s="9" t="inlineStr">
        <is>
          <t>noun phrase</t>
        </is>
      </c>
      <c r="D53" s="7" t="inlineStr">
        <is>
          <t>/dəˌmes.tɪk ˈvaɪə.ləns/</t>
        </is>
      </c>
      <c r="E53" s="10" t="inlineStr">
        <is>
          <t>Bạo lực gia đình (hành vi bạo hành thể xác hoặc tinh thần giữa các thành viên)</t>
        </is>
      </c>
      <c r="F53" s="11" t="inlineStr">
        <is>
          <t>B2</t>
        </is>
      </c>
      <c r="G53" s="10" t="inlineStr">
        <is>
          <t>Victims of domestic violence need immediate shelter and psychological counseling.</t>
        </is>
      </c>
      <c r="H53" s="10" t="inlineStr">
        <is>
          <t>family abuse, spousal abuse, domestic abuse</t>
        </is>
      </c>
      <c r="I53" s="10" t="inlineStr">
        <is>
          <t>family harmony, peaceful home</t>
        </is>
      </c>
      <c r="J53" s="10" t="inlineStr">
        <is>
          <t>suffer from domestic violence, prevent domestic violence, domestic violence hotline</t>
        </is>
      </c>
      <c r="K53" s="10" t="inlineStr">
        <is>
          <t>Domestic (thuộc gia đình/nội địa) + violence (bạo lực).</t>
        </is>
      </c>
    </row>
    <row r="54" ht="42" customHeight="1">
      <c r="A54" s="2" t="inlineStr">
        <is>
          <t>Unit 9: Social Issues</t>
        </is>
      </c>
      <c r="B54" s="3" t="inlineStr">
        <is>
          <t>body shaming</t>
        </is>
      </c>
      <c r="C54" s="4" t="inlineStr">
        <is>
          <t>noun phrase</t>
        </is>
      </c>
      <c r="D54" s="2" t="inlineStr">
        <is>
          <t>/ˈbɒd.i ˌʃeɪ.mɪŋ/</t>
        </is>
      </c>
      <c r="E54" s="5" t="inlineStr">
        <is>
          <t>Miệt thị ngoại hình (hành vi chê bai, chế giễu vóc dáng của người khác)</t>
        </is>
      </c>
      <c r="F54" s="6" t="inlineStr">
        <is>
          <t>B2</t>
        </is>
      </c>
      <c r="G54" s="5" t="inlineStr">
        <is>
          <t>Body shaming on social networks causes severe anxiety and low self-esteem in young girls.</t>
        </is>
      </c>
      <c r="H54" s="5" t="inlineStr">
        <is>
          <t>appearance mocking, physical criticism</t>
        </is>
      </c>
      <c r="I54" s="5" t="inlineStr">
        <is>
          <t>body positivity, self-acceptance</t>
        </is>
      </c>
      <c r="J54" s="5" t="inlineStr">
        <is>
          <t>stop body shaming, target of body shaming, fight against body shaming</t>
        </is>
      </c>
      <c r="K54" s="5" t="inlineStr">
        <is>
          <t>Thuật ngữ xã hội học rất thịnh hành trong các đề thi nói/viết hiện nay.</t>
        </is>
      </c>
    </row>
    <row r="55" ht="42" customHeight="1">
      <c r="A55" s="7" t="inlineStr">
        <is>
          <t>Unit 9: Social Issues</t>
        </is>
      </c>
      <c r="B55" s="8" t="inlineStr">
        <is>
          <t>raise awareness</t>
        </is>
      </c>
      <c r="C55" s="9" t="inlineStr">
        <is>
          <t>verb phrase</t>
        </is>
      </c>
      <c r="D55" s="7" t="inlineStr">
        <is>
          <t>/reɪz əˈweə.nəs/</t>
        </is>
      </c>
      <c r="E55" s="10" t="inlineStr">
        <is>
          <t>Nâng cao nhận thức của cộng đồng về một vấn đề quan trọng</t>
        </is>
      </c>
      <c r="F55" s="11" t="inlineStr">
        <is>
          <t>B1</t>
        </is>
      </c>
      <c r="G55" s="10" t="inlineStr">
        <is>
          <t>Youth organizations launched a campaign to raise public awareness about mental health.</t>
        </is>
      </c>
      <c r="H55" s="10" t="inlineStr">
        <is>
          <t>heighten consciousness, spread awareness, educate the public</t>
        </is>
      </c>
      <c r="I55" s="10" t="inlineStr">
        <is>
          <t>ignore, conceal information</t>
        </is>
      </c>
      <c r="J55" s="10" t="inlineStr">
        <is>
          <t>raise public awareness, raise awareness of social issues, campaign to raise awareness</t>
        </is>
      </c>
      <c r="K55" s="10" t="inlineStr">
        <is>
          <t>Cấu trúc: raise awareness of / about something.</t>
        </is>
      </c>
    </row>
    <row r="56" ht="42" customHeight="1">
      <c r="A56" s="2" t="inlineStr">
        <is>
          <t>Unit 10: The Ecosystem</t>
        </is>
      </c>
      <c r="B56" s="3" t="inlineStr">
        <is>
          <t>biodiversity</t>
        </is>
      </c>
      <c r="C56" s="4" t="inlineStr">
        <is>
          <t>noun</t>
        </is>
      </c>
      <c r="D56" s="2" t="inlineStr">
        <is>
          <t>/ˌbaɪ.əʊ.daɪˈvɜː.sə.ti/</t>
        </is>
      </c>
      <c r="E56" s="5" t="inlineStr">
        <is>
          <t>Đa dạng sinh học (sự phong phú và đa dạng của các dạng sống trong một hệ sinh thái)</t>
        </is>
      </c>
      <c r="F56" s="6" t="inlineStr">
        <is>
          <t>B2</t>
        </is>
      </c>
      <c r="G56" s="5" t="inlineStr">
        <is>
          <t>Tropical rainforests harbor more than half of the world's plant and animal biodiversity.</t>
        </is>
      </c>
      <c r="H56" s="5" t="inlineStr">
        <is>
          <t>biological diversity, ecological variety</t>
        </is>
      </c>
      <c r="I56" s="5" t="inlineStr">
        <is>
          <t>monoculture, biological uniformity</t>
        </is>
      </c>
      <c r="J56" s="5" t="inlineStr">
        <is>
          <t>preserve biodiversity, threat to biodiversity, rich biodiversity, loss of biodiversity</t>
        </is>
      </c>
      <c r="K56" s="5" t="inlineStr">
        <is>
          <t>Trọng âm 4: bi-o-di-VER-si-ty.</t>
        </is>
      </c>
    </row>
    <row r="57" ht="42" customHeight="1">
      <c r="A57" s="7" t="inlineStr">
        <is>
          <t>Unit 10: The Ecosystem</t>
        </is>
      </c>
      <c r="B57" s="8" t="inlineStr">
        <is>
          <t>food chain</t>
        </is>
      </c>
      <c r="C57" s="9" t="inlineStr">
        <is>
          <t>noun phrase</t>
        </is>
      </c>
      <c r="D57" s="7" t="inlineStr">
        <is>
          <t>/ˈfuːd ˌtʃeɪn/</t>
        </is>
      </c>
      <c r="E57" s="10" t="inlineStr">
        <is>
          <t>Chuỗi thức ăn (trật tự dinh dưỡng giữa các sinh vật trong tự nhiên)</t>
        </is>
      </c>
      <c r="F57" s="11" t="inlineStr">
        <is>
          <t>B1</t>
        </is>
      </c>
      <c r="G57" s="10" t="inlineStr">
        <is>
          <t>Apex predators like tigers and eagles play a pivotal role at the top of the food chain.</t>
        </is>
      </c>
      <c r="H57" s="10" t="inlineStr">
        <is>
          <t>food web, ecological pyramid, trophic chain</t>
        </is>
      </c>
      <c r="I57" s="10" t="inlineStr">
        <is>
          <t>N/A</t>
        </is>
      </c>
      <c r="J57" s="10" t="inlineStr">
        <is>
          <t>top of the food chain, disrupt the food chain, link in the food chain</t>
        </is>
      </c>
      <c r="K57" s="10" t="inlineStr">
        <is>
          <t>Mở rộng: 'food web' (lưới thức ăn gồm nhiều chuỗi thức ăn đan xen).</t>
        </is>
      </c>
    </row>
    <row r="58" ht="42" customHeight="1">
      <c r="A58" s="2" t="inlineStr">
        <is>
          <t>Unit 10: The Ecosystem</t>
        </is>
      </c>
      <c r="B58" s="3" t="inlineStr">
        <is>
          <t>habitat loss</t>
        </is>
      </c>
      <c r="C58" s="4" t="inlineStr">
        <is>
          <t>noun phrase</t>
        </is>
      </c>
      <c r="D58" s="2" t="inlineStr">
        <is>
          <t>/ˈhæb.ɪ.tæt lɒs/</t>
        </is>
      </c>
      <c r="E58" s="5" t="inlineStr">
        <is>
          <t>Mất môi trường sống tự nhiên của muông thú do con người tác động</t>
        </is>
      </c>
      <c r="F58" s="6" t="inlineStr">
        <is>
          <t>B2</t>
        </is>
      </c>
      <c r="G58" s="5" t="inlineStr">
        <is>
          <t>Agricultural expansion and illegal logging are primary causes of severe habitat loss.</t>
        </is>
      </c>
      <c r="H58" s="5" t="inlineStr">
        <is>
          <t>habitat destruction, habitat degradation</t>
        </is>
      </c>
      <c r="I58" s="5" t="inlineStr">
        <is>
          <t>habitat restoration, habitat conservation</t>
        </is>
      </c>
      <c r="J58" s="5" t="inlineStr">
        <is>
          <t>suffer habitat loss, cause habitat loss, lead to habitat loss</t>
        </is>
      </c>
      <c r="K58" s="5" t="inlineStr">
        <is>
          <t>Habitat = môi trường sống tự nhiên của động/thực vật.</t>
        </is>
      </c>
    </row>
    <row r="59" ht="42" customHeight="1">
      <c r="A59" s="7" t="inlineStr">
        <is>
          <t>Unit 10: The Ecosystem</t>
        </is>
      </c>
      <c r="B59" s="8" t="inlineStr">
        <is>
          <t>conservationist</t>
        </is>
      </c>
      <c r="C59" s="9" t="inlineStr">
        <is>
          <t>noun</t>
        </is>
      </c>
      <c r="D59" s="7" t="inlineStr">
        <is>
          <t>/ˌkɒn.səˈveɪ.ʃən.ɪst/</t>
        </is>
      </c>
      <c r="E59" s="10" t="inlineStr">
        <is>
          <t>Nhà bảo tồn thiên nhiên, người hoạt động bảo vệ môi trường và động vật</t>
        </is>
      </c>
      <c r="F59" s="11" t="inlineStr">
        <is>
          <t>B2</t>
        </is>
      </c>
      <c r="G59" s="10" t="inlineStr">
        <is>
          <t>Conservationists are working around the clock to establish marine protected zones for coral.</t>
        </is>
      </c>
      <c r="H59" s="10" t="inlineStr">
        <is>
          <t>environmentalist, wildlife protector, ecologist</t>
        </is>
      </c>
      <c r="I59" s="10" t="inlineStr">
        <is>
          <t>poacher, exploiter</t>
        </is>
      </c>
      <c r="J59" s="10" t="inlineStr">
        <is>
          <t>dedicated conservationist, team of conservationists, wildlife conservationist</t>
        </is>
      </c>
      <c r="K59" s="10" t="inlineStr">
        <is>
          <t>Phân biệt: conservation (sự bảo tồn), conserve (bảo tồn), conservationist (nhà bảo tồn).</t>
        </is>
      </c>
    </row>
    <row r="60" ht="42" customHeight="1">
      <c r="A60" s="2" t="inlineStr">
        <is>
          <t>Unit 10: The Ecosystem</t>
        </is>
      </c>
      <c r="B60" s="3" t="inlineStr">
        <is>
          <t>extinct</t>
        </is>
      </c>
      <c r="C60" s="4" t="inlineStr">
        <is>
          <t>adjective</t>
        </is>
      </c>
      <c r="D60" s="2" t="inlineStr">
        <is>
          <t>/ɪkˈstɪŋkt/</t>
        </is>
      </c>
      <c r="E60" s="5" t="inlineStr">
        <is>
          <t>Tuyệt chủng (loài sinh vật đã chết hết và không còn tồn tại trên Trái Đất)</t>
        </is>
      </c>
      <c r="F60" s="6" t="inlineStr">
        <is>
          <t>B1</t>
        </is>
      </c>
      <c r="G60" s="5" t="inlineStr">
        <is>
          <t>The Javan rhinoceros in Cat Tien National Park was officially declared extinct in 2010.</t>
        </is>
      </c>
      <c r="H60" s="5" t="inlineStr">
        <is>
          <t>died out, wiped out, non-existent</t>
        </is>
      </c>
      <c r="I60" s="5" t="inlineStr">
        <is>
          <t>alive, extant, thriving, surviving</t>
        </is>
      </c>
      <c r="J60" s="5" t="inlineStr">
        <is>
          <t>become extinct, go extinct, on the brink of extinction, functionally extinct</t>
        </is>
      </c>
      <c r="K60" s="5" t="inlineStr">
        <is>
          <t>Danh từ: 'extinction' (sự tuyệt chủng). Cụm: 'threatened with extinction'.</t>
        </is>
      </c>
    </row>
    <row r="61" ht="42" customHeight="1">
      <c r="A61" s="7" t="inlineStr">
        <is>
          <t>Unit 10: The Ecosystem</t>
        </is>
      </c>
      <c r="B61" s="8" t="inlineStr">
        <is>
          <t>endangered species</t>
        </is>
      </c>
      <c r="C61" s="9" t="inlineStr">
        <is>
          <t>noun phrase</t>
        </is>
      </c>
      <c r="D61" s="7" t="inlineStr">
        <is>
          <t>/ɪnˌdeɪn.dʒəd ˈspiː.ʃiːz/</t>
        </is>
      </c>
      <c r="E61" s="10" t="inlineStr">
        <is>
          <t>Loài có nguy cơ tuyệt chủng (sinh vật nằm trong Sách Đỏ cần bảo vệ khẩn cấp)</t>
        </is>
      </c>
      <c r="F61" s="11" t="inlineStr">
        <is>
          <t>B2</t>
        </is>
      </c>
      <c r="G61" s="10" t="inlineStr">
        <is>
          <t>The World Wildlife Fund works relentlessly to safeguard critically endangered species worldwide.</t>
        </is>
      </c>
      <c r="H61" s="10" t="inlineStr">
        <is>
          <t>threatened species, species at risk</t>
        </is>
      </c>
      <c r="I61" s="10" t="inlineStr">
        <is>
          <t>common species, abundant animals</t>
        </is>
      </c>
      <c r="J61" s="10" t="inlineStr">
        <is>
          <t>protect endangered species, list of endangered species, critically endangered species</t>
        </is>
      </c>
      <c r="K61" s="10" t="inlineStr">
        <is>
          <t>Từ 'species' giữ nguyên hình thức ở cả số ít và số nhiều (one species, many species).</t>
        </is>
      </c>
    </row>
  </sheetData>
  <autoFilter ref="A1:K61"/>
  <dataValidations count="1">
    <dataValidation sqref="F2:F61" showDropDown="0" showInputMessage="0" showErrorMessage="0" allowBlank="1" type="list">
      <formula1>"A2,B1,B2,C1"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TIẾNG ANH LỚP 11</t>
        </is>
      </c>
    </row>
    <row r="2" ht="20" customHeight="1">
      <c r="A2" s="13" t="inlineStr">
        <is>
          <t>Hệ thống từ vựng học thuật chuẩn hóa theo 10 Unit chương trình GDPT 2018 (Global Success, Friends Global, Bright, i-Learn Smart World)</t>
        </is>
      </c>
    </row>
    <row r="4" ht="18" customHeight="1">
      <c r="B4" s="14" t="inlineStr">
        <is>
          <t>TỔNG SỐ TỪ VỰNG</t>
        </is>
      </c>
      <c r="C4" s="15" t="n"/>
      <c r="D4" s="14" t="inlineStr">
        <is>
          <t>SỐ CHỦ ĐỀ (UNITS)</t>
        </is>
      </c>
      <c r="E4" s="15" t="n"/>
      <c r="F4" s="14" t="inlineStr">
        <is>
          <t>TRÌNH ĐỘ B1 (INTERMEDIATE)</t>
        </is>
      </c>
      <c r="G4" s="15" t="n"/>
      <c r="H4" s="14" t="inlineStr">
        <is>
          <t>TRÌNH ĐỘ B2 (UPPER-INTER)</t>
        </is>
      </c>
      <c r="I4" s="15" t="n"/>
    </row>
    <row r="5" ht="24" customHeight="1">
      <c r="B5" s="16">
        <f>COUNTA('Từ Vựng Tiếng Anh Lớp 11'!B2:B61)</f>
        <v/>
      </c>
      <c r="C5" s="15" t="n"/>
      <c r="D5" s="16" t="inlineStr">
        <is>
          <t>10</t>
        </is>
      </c>
      <c r="E5" s="15" t="n"/>
      <c r="F5" s="16">
        <f>COUNTIF('Từ Vựng Tiếng Anh Lớp 11'!F2:F61, "B1")</f>
        <v/>
      </c>
      <c r="G5" s="15" t="n"/>
      <c r="H5" s="16">
        <f>COUNTIF('Từ Vựng Tiếng Anh Lớp 11'!F2:F61, "B2")</f>
        <v/>
      </c>
      <c r="I5" s="15" t="n"/>
    </row>
    <row r="6" ht="18" customHeight="1">
      <c r="B6" s="15" t="n"/>
      <c r="C6" s="15" t="n"/>
      <c r="D6" s="15" t="n"/>
      <c r="E6" s="15" t="n"/>
      <c r="F6" s="15" t="n"/>
      <c r="G6" s="15" t="n"/>
      <c r="H6" s="15" t="n"/>
      <c r="I6" s="15" t="n"/>
    </row>
    <row r="8" ht="22" customHeight="1">
      <c r="A8" s="17" t="inlineStr">
        <is>
          <t>BẢNG 1: THỐNG KÊ TỪ VỰNG THEO TỪNG CHỦ ĐỀ LỚP 11</t>
        </is>
      </c>
      <c r="F8" s="17" t="inlineStr">
        <is>
          <t>BẢNG 2: PHÂN BỐ THEO TRÌNH ĐỘ CEFR</t>
        </is>
      </c>
    </row>
    <row r="9" ht="24" customHeight="1">
      <c r="A9" s="1" t="inlineStr">
        <is>
          <t>Mã &amp; Tên Chủ Đề</t>
        </is>
      </c>
      <c r="B9" s="1" t="inlineStr">
        <is>
          <t>Số Từ Vựng</t>
        </is>
      </c>
      <c r="C9" s="1" t="inlineStr">
        <is>
          <t>Tỷ Lệ (%)</t>
        </is>
      </c>
      <c r="D9" s="1" t="inlineStr">
        <is>
          <t>Cấp Độ Mục Tiêu</t>
        </is>
      </c>
      <c r="F9" s="1" t="inlineStr">
        <is>
          <t>Cấp Độ CEFR</t>
        </is>
      </c>
      <c r="G9" s="1" t="inlineStr">
        <is>
          <t>Số Từ Vựng</t>
        </is>
      </c>
      <c r="H9" s="1" t="inlineStr">
        <is>
          <t>Tỷ Lệ (%)</t>
        </is>
      </c>
    </row>
    <row r="10" ht="20" customHeight="1">
      <c r="A10" s="5" t="inlineStr">
        <is>
          <t>Unit 1: A Long &amp; Healthy Life</t>
        </is>
      </c>
      <c r="B10" s="6">
        <f>COUNTIF('Từ Vựng Tiếng Anh Lớp 11'!$A$2:$A$61, A10)</f>
        <v/>
      </c>
      <c r="C10" s="18">
        <f>B10/$B$20</f>
        <v/>
      </c>
      <c r="D10" s="4" t="inlineStr">
        <is>
          <t>A2 - B2</t>
        </is>
      </c>
      <c r="F10" s="6" t="inlineStr">
        <is>
          <t>A2</t>
        </is>
      </c>
      <c r="G10" s="6">
        <f>COUNTIF('Từ Vựng Tiếng Anh Lớp 11'!$F$2:$F$61, "A2")</f>
        <v/>
      </c>
      <c r="H10" s="18">
        <f>G10/$G$13</f>
        <v/>
      </c>
    </row>
    <row r="11" ht="20" customHeight="1">
      <c r="A11" s="10" t="inlineStr">
        <is>
          <t>Unit 2: The Generation Gap</t>
        </is>
      </c>
      <c r="B11" s="11">
        <f>COUNTIF('Từ Vựng Tiếng Anh Lớp 11'!$A$2:$A$61, A11)</f>
        <v/>
      </c>
      <c r="C11" s="19">
        <f>B11/$B$20</f>
        <v/>
      </c>
      <c r="D11" s="9" t="inlineStr">
        <is>
          <t>B1 - B2</t>
        </is>
      </c>
      <c r="F11" s="11" t="inlineStr">
        <is>
          <t>B1</t>
        </is>
      </c>
      <c r="G11" s="11">
        <f>COUNTIF('Từ Vựng Tiếng Anh Lớp 11'!$F$2:$F$61, "B1")</f>
        <v/>
      </c>
      <c r="H11" s="19">
        <f>G11/$G$13</f>
        <v/>
      </c>
    </row>
    <row r="12" ht="20" customHeight="1">
      <c r="A12" s="5" t="inlineStr">
        <is>
          <t>Unit 3: Cities of the Future</t>
        </is>
      </c>
      <c r="B12" s="6">
        <f>COUNTIF('Từ Vựng Tiếng Anh Lớp 11'!$A$2:$A$61, A12)</f>
        <v/>
      </c>
      <c r="C12" s="18">
        <f>B12/$B$20</f>
        <v/>
      </c>
      <c r="D12" s="4" t="inlineStr">
        <is>
          <t>B1 - B2</t>
        </is>
      </c>
      <c r="F12" s="6" t="inlineStr">
        <is>
          <t>B2</t>
        </is>
      </c>
      <c r="G12" s="6">
        <f>COUNTIF('Từ Vựng Tiếng Anh Lớp 11'!$F$2:$F$61, "B2")</f>
        <v/>
      </c>
      <c r="H12" s="18">
        <f>G12/$G$13</f>
        <v/>
      </c>
    </row>
    <row r="13" ht="22" customHeight="1">
      <c r="A13" s="10" t="inlineStr">
        <is>
          <t>Unit 4: ASEAN and Viet Nam</t>
        </is>
      </c>
      <c r="B13" s="11">
        <f>COUNTIF('Từ Vựng Tiếng Anh Lớp 11'!$A$2:$A$61, A13)</f>
        <v/>
      </c>
      <c r="C13" s="19">
        <f>B13/$B$20</f>
        <v/>
      </c>
      <c r="D13" s="9" t="inlineStr">
        <is>
          <t>A2 - B2</t>
        </is>
      </c>
      <c r="F13" s="20" t="inlineStr">
        <is>
          <t>Tổng cộng</t>
        </is>
      </c>
      <c r="G13" s="20">
        <f>SUM(G10:G12)</f>
        <v/>
      </c>
      <c r="H13" s="21">
        <f>SUM(H10:H12)</f>
        <v/>
      </c>
    </row>
    <row r="14" ht="20" customHeight="1">
      <c r="A14" s="5" t="inlineStr">
        <is>
          <t>Unit 5: Global Warming</t>
        </is>
      </c>
      <c r="B14" s="6">
        <f>COUNTIF('Từ Vựng Tiếng Anh Lớp 11'!$A$2:$A$61, A14)</f>
        <v/>
      </c>
      <c r="C14" s="18">
        <f>B14/$B$20</f>
        <v/>
      </c>
      <c r="D14" s="4" t="inlineStr">
        <is>
          <t>A2 - B2</t>
        </is>
      </c>
    </row>
    <row r="15" ht="20" customHeight="1">
      <c r="A15" s="10" t="inlineStr">
        <is>
          <t>Unit 6: Preserving Heritage</t>
        </is>
      </c>
      <c r="B15" s="11">
        <f>COUNTIF('Từ Vựng Tiếng Anh Lớp 11'!$A$2:$A$61, A15)</f>
        <v/>
      </c>
      <c r="C15" s="19">
        <f>B15/$B$20</f>
        <v/>
      </c>
      <c r="D15" s="9" t="inlineStr">
        <is>
          <t>A2 - B2</t>
        </is>
      </c>
    </row>
    <row r="16" ht="20" customHeight="1">
      <c r="A16" s="5" t="inlineStr">
        <is>
          <t>Unit 7: Education for Leavers</t>
        </is>
      </c>
      <c r="B16" s="6">
        <f>COUNTIF('Từ Vựng Tiếng Anh Lớp 11'!$A$2:$A$61, A16)</f>
        <v/>
      </c>
      <c r="C16" s="18">
        <f>B16/$B$20</f>
        <v/>
      </c>
      <c r="D16" s="4" t="inlineStr">
        <is>
          <t>B1 - B2</t>
        </is>
      </c>
    </row>
    <row r="17" ht="20" customHeight="1">
      <c r="A17" s="10" t="inlineStr">
        <is>
          <t>Unit 8: Becoming Independent</t>
        </is>
      </c>
      <c r="B17" s="11">
        <f>COUNTIF('Từ Vựng Tiếng Anh Lớp 11'!$A$2:$A$61, A17)</f>
        <v/>
      </c>
      <c r="C17" s="19">
        <f>B17/$B$20</f>
        <v/>
      </c>
      <c r="D17" s="9" t="inlineStr">
        <is>
          <t>B1 - B2</t>
        </is>
      </c>
    </row>
    <row r="18" ht="20" customHeight="1">
      <c r="A18" s="5" t="inlineStr">
        <is>
          <t>Unit 9: Social Issues</t>
        </is>
      </c>
      <c r="B18" s="6">
        <f>COUNTIF('Từ Vựng Tiếng Anh Lớp 11'!$A$2:$A$61, A18)</f>
        <v/>
      </c>
      <c r="C18" s="18">
        <f>B18/$B$20</f>
        <v/>
      </c>
      <c r="D18" s="4" t="inlineStr">
        <is>
          <t>B1 - B2</t>
        </is>
      </c>
    </row>
    <row r="19" ht="20" customHeight="1">
      <c r="A19" s="10" t="inlineStr">
        <is>
          <t>Unit 10: The Ecosystem</t>
        </is>
      </c>
      <c r="B19" s="11">
        <f>COUNTIF('Từ Vựng Tiếng Anh Lớp 11'!$A$2:$A$61, A19)</f>
        <v/>
      </c>
      <c r="C19" s="19">
        <f>B19/$B$20</f>
        <v/>
      </c>
      <c r="D19" s="9" t="inlineStr">
        <is>
          <t>B1 - B2</t>
        </is>
      </c>
    </row>
    <row r="20" ht="22" customHeight="1">
      <c r="A20" s="22" t="inlineStr">
        <is>
          <t>Tổng cộng</t>
        </is>
      </c>
      <c r="B20" s="20">
        <f>SUM(B10:B19)</f>
        <v/>
      </c>
      <c r="C20" s="21">
        <f>SUM(C10:C19)</f>
        <v/>
      </c>
      <c r="D20" s="20" t="inlineStr">
        <is>
          <t>Toàn bộ 10 Units</t>
        </is>
      </c>
    </row>
    <row r="40">
      <c r="A40" s="17" t="inlineStr">
        <is>
          <t>CHIẾN LƯỢC ĐỘT PHÁ TỪ VỰNG TIẾNG ANH LỚP 11 - CHINH PHỤC ĐIỂM 9+ THPT VÀ CHỨNG CHỈ IELTS</t>
        </is>
      </c>
    </row>
    <row r="41">
      <c r="A41" s="23" t="inlineStr">
        <is>
          <t>1. Nắm chắc các chủ đề có tính học thuật cao (High-Level Academic Themes):</t>
        </is>
      </c>
    </row>
    <row r="42" ht="28" customHeight="1">
      <c r="A42" s="24" t="inlineStr">
        <is>
          <t>Lớp 11 là năm bản lề với các chủ đề mang tính thời sự toàn cầu: Biến đổi khí hậu (Global Warming), Đô thị thông minh (Smart Cities), Tự lập (Independence) và Di sản văn hóa (Preserving Heritage). Nắm vững vốn từ này sẽ giúp học sinh xử lý xuất sắc các bài đọc hiểu dài trong đề thi đại học.</t>
        </is>
      </c>
    </row>
    <row r="43">
      <c r="A43" s="23" t="inlineStr">
        <is>
          <t>2. Tối ưu hóa Collocations và Phrasal Verbs học thuật:</t>
        </is>
      </c>
    </row>
    <row r="44" ht="28" customHeight="1">
      <c r="A44" s="24" t="inlineStr">
        <is>
          <t>Không dịch từng từ đơn lẻ (word-by-word). Hãy ghi nhớ các cụm động từ và kết hợp từ tự nhiên (ví dụ: 'bridge the generation gap', 'boost the immune system', 'phase out fossil fuels', 'cope with academic stress', 'raise public awareness').</t>
        </is>
      </c>
    </row>
    <row r="45">
      <c r="A45" s="23" t="inlineStr">
        <is>
          <t>3. Kỹ thuật nhận diện ngữ cảnh &amp; Đoán nghĩa từ mới (Contextual Clues):</t>
        </is>
      </c>
    </row>
    <row r="46" ht="28" customHeight="1">
      <c r="A46" s="24" t="inlineStr">
        <is>
          <t>Khi gặp các bài đọc phức tạp, hãy rèn luyện phản xạ đoán nghĩa dựa vào các liên từ tương phản (however, whereas), nguyên nhân - kết quả (consequently, due to) và cấu trúc song hành.</t>
        </is>
      </c>
    </row>
    <row r="47">
      <c r="A47" s="23" t="inlineStr">
        <is>
          <t>4. Phát triển kỹ năng Paraphrasing (Diễn đạt tương đương):</t>
        </is>
      </c>
    </row>
    <row r="48" ht="28" customHeight="1">
      <c r="A48" s="24" t="inlineStr">
        <is>
          <t>Học từ vựng theo cặp Đồng nghĩa - Trái nghĩa (Synonyms / Antonyms) để dễ dàng nhận diện bẫy trong các bài thi trắc nghiệm tìm từ đồng nghĩa/trái nghĩa và nâng band điểm Writing.</t>
        </is>
      </c>
    </row>
    <row r="49">
      <c r="A49" s="23" t="inlineStr">
        <is>
          <t>5. Kiểm tra định kỳ bằng Flashcard tương tác:</t>
        </is>
      </c>
    </row>
    <row r="50" ht="28" customHeight="1">
      <c r="A50" s="24" t="inlineStr">
        <is>
          <t>Sử dụng Tab 'Flashcard &amp; Luyện Tập' để tự kiểm tra kiến thức sau mỗi tuần học, lọc ra những từ ở trạng thái 'Cần ôn lại' để củng cố trước các kỳ thi giữa kỳ và cuối kỳ.</t>
        </is>
      </c>
    </row>
  </sheetData>
  <mergeCells count="20">
    <mergeCell ref="F4:G4"/>
    <mergeCell ref="A41:I41"/>
    <mergeCell ref="A46:I46"/>
    <mergeCell ref="H4:I4"/>
    <mergeCell ref="A50:I50"/>
    <mergeCell ref="A2:I2"/>
    <mergeCell ref="A47:I47"/>
    <mergeCell ref="A42:I42"/>
    <mergeCell ref="B5:C6"/>
    <mergeCell ref="D5:E6"/>
    <mergeCell ref="H5:I6"/>
    <mergeCell ref="A43:I43"/>
    <mergeCell ref="A44:I44"/>
    <mergeCell ref="D4:E4"/>
    <mergeCell ref="A48:I48"/>
    <mergeCell ref="A49:I49"/>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9"/>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22" customWidth="1" min="3" max="3"/>
    <col width="24" customWidth="1" min="4" max="4"/>
    <col width="28" customWidth="1" min="5" max="5"/>
    <col width="48" customWidth="1" min="6" max="6"/>
    <col width="18" customWidth="1" min="7" max="7"/>
    <col width="38" customWidth="1" min="8" max="8"/>
  </cols>
  <sheetData>
    <row r="1" ht="32" customHeight="1">
      <c r="A1" s="12" t="inlineStr">
        <is>
          <t>BẢNG LUYỆN TẬP &amp; ĐÁNH GIÁ MỨC ĐỘ GHI NHỚ TỪ VỰNG TIẾNG ANH LỚP 11</t>
        </is>
      </c>
    </row>
    <row r="2" ht="20" customHeight="1">
      <c r="A2" s="13" t="inlineStr">
        <is>
          <t>Hướng dẫn: Tự điền từ vào chỗ trống trong câu, sau đó đánh giá mức độ ghi nhớ ở cột 'Trạng Thái Ôn Tập' để lên kế hoạch ôn luyện định kỳ.</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Unit 1: A Long &amp; Healthy Life</t>
        </is>
      </c>
      <c r="C5" s="8" t="inlineStr">
        <is>
          <t>immune system</t>
        </is>
      </c>
      <c r="D5" s="9" t="inlineStr">
        <is>
          <t>noun phrase | /ɪˈmjuːn ˌsɪs.təm/</t>
        </is>
      </c>
      <c r="E5" s="10" t="inlineStr">
        <is>
          <t>Hệ miễn dịch</t>
        </is>
      </c>
      <c r="F5" s="10" t="inlineStr">
        <is>
          <t>Eating a balanced diet rich in citrus fruits helps strengthen your _____ against common viral infections.</t>
        </is>
      </c>
      <c r="G5" s="11" t="inlineStr">
        <is>
          <t>Đã thuộc</t>
        </is>
      </c>
      <c r="H5" s="10" t="inlineStr">
        <is>
          <t>Học cụm boost/strengthen the immune system</t>
        </is>
      </c>
    </row>
    <row r="6" ht="36" customHeight="1">
      <c r="A6" s="6" t="n">
        <v>2</v>
      </c>
      <c r="B6" s="2" t="inlineStr">
        <is>
          <t>Unit 1: A Long &amp; Healthy Life</t>
        </is>
      </c>
      <c r="C6" s="3" t="inlineStr">
        <is>
          <t>longevity</t>
        </is>
      </c>
      <c r="D6" s="4" t="inlineStr">
        <is>
          <t>noun | /lɒnˈdʒev.ə.ti/</t>
        </is>
      </c>
      <c r="E6" s="5" t="inlineStr">
        <is>
          <t>Tuổi thọ cao, sự sống lâu</t>
        </is>
      </c>
      <c r="F6" s="5" t="inlineStr">
        <is>
          <t>Regular physical exercise and low-stress living are known to promote overall health and _____ in elderly populations.</t>
        </is>
      </c>
      <c r="G6" s="6" t="inlineStr">
        <is>
          <t>Đã thuộc</t>
        </is>
      </c>
      <c r="H6" s="5" t="inlineStr">
        <is>
          <t>Gốc từ long -&gt; longevity (trọng âm 2)</t>
        </is>
      </c>
    </row>
    <row r="7" ht="36" customHeight="1">
      <c r="A7" s="11" t="n">
        <v>3</v>
      </c>
      <c r="B7" s="7" t="inlineStr">
        <is>
          <t>Unit 1: A Long &amp; Healthy Life</t>
        </is>
      </c>
      <c r="C7" s="8" t="inlineStr">
        <is>
          <t>antibiotic resistance</t>
        </is>
      </c>
      <c r="D7" s="9" t="inlineStr">
        <is>
          <t>noun phrase | /ˌæn.ti.baɪˈɒt.ɪk rɪˌzɪs.təns/</t>
        </is>
      </c>
      <c r="E7" s="10" t="inlineStr">
        <is>
          <t>Kháng thuốc kháng sinh</t>
        </is>
      </c>
      <c r="F7" s="10" t="inlineStr">
        <is>
          <t>Misusing prescription drugs without a doctor's guidance significantly increases the risk of dangerous _____.</t>
        </is>
      </c>
      <c r="G7" s="11" t="inlineStr">
        <is>
          <t>Đang học</t>
        </is>
      </c>
      <c r="H7" s="10" t="inlineStr">
        <is>
          <t>Chủ đề thời sự y tế toàn cầu</t>
        </is>
      </c>
    </row>
    <row r="8" ht="36" customHeight="1">
      <c r="A8" s="6" t="n">
        <v>4</v>
      </c>
      <c r="B8" s="2" t="inlineStr">
        <is>
          <t>Unit 2: The Generation Gap</t>
        </is>
      </c>
      <c r="C8" s="3" t="inlineStr">
        <is>
          <t>generation gap</t>
        </is>
      </c>
      <c r="D8" s="4" t="inlineStr">
        <is>
          <t>noun phrase | /ˌdʒen.əˈreɪ.ʃən ɡæp/</t>
        </is>
      </c>
      <c r="E8" s="5" t="inlineStr">
        <is>
          <t>Khoảng cách thế hệ</t>
        </is>
      </c>
      <c r="F8" s="5" t="inlineStr">
        <is>
          <t>Effective parent-child communication is key to bridging the _____ regarding lifestyle choices and career paths.</t>
        </is>
      </c>
      <c r="G8" s="6" t="inlineStr">
        <is>
          <t>Đã thuộc</t>
        </is>
      </c>
      <c r="H8" s="5" t="inlineStr">
        <is>
          <t>Cụm bridge / narrow the generation gap</t>
        </is>
      </c>
    </row>
    <row r="9" ht="36" customHeight="1">
      <c r="A9" s="11" t="n">
        <v>5</v>
      </c>
      <c r="B9" s="7" t="inlineStr">
        <is>
          <t>Unit 2: The Generation Gap</t>
        </is>
      </c>
      <c r="C9" s="8" t="inlineStr">
        <is>
          <t>curfew</t>
        </is>
      </c>
      <c r="D9" s="9" t="inlineStr">
        <is>
          <t>noun | /ˈkɜː.fjuː/</t>
        </is>
      </c>
      <c r="E9" s="10" t="inlineStr">
        <is>
          <t>Giờ giới nghiêm</t>
        </is>
      </c>
      <c r="F9" s="10" t="inlineStr">
        <is>
          <t>My parents established a strict 9:30 PM _____ on school nights to ensure I get sufficient sleep.</t>
        </is>
      </c>
      <c r="G9" s="11" t="inlineStr">
        <is>
          <t>Đã thuộc</t>
        </is>
      </c>
      <c r="H9" s="10" t="inlineStr">
        <is>
          <t>Cụm set / break / impose a curfew</t>
        </is>
      </c>
    </row>
    <row r="10" ht="36" customHeight="1">
      <c r="A10" s="6" t="n">
        <v>6</v>
      </c>
      <c r="B10" s="2" t="inlineStr">
        <is>
          <t>Unit 2: The Generation Gap</t>
        </is>
      </c>
      <c r="C10" s="3" t="inlineStr">
        <is>
          <t>open-minded</t>
        </is>
      </c>
      <c r="D10" s="4" t="inlineStr">
        <is>
          <t>adjective | /ˌəʊ.pənˈmaɪn.dɪd/</t>
        </is>
      </c>
      <c r="E10" s="5" t="inlineStr">
        <is>
          <t>Cởi mở, cầu tiến</t>
        </is>
      </c>
      <c r="F10" s="5" t="inlineStr">
        <is>
          <t>Being _____ allows teenagers to accept constructive feedback and adapt to new cultural viewpoints easily.</t>
        </is>
      </c>
      <c r="G10" s="6" t="inlineStr">
        <is>
          <t>Đang học</t>
        </is>
      </c>
      <c r="H10" s="5" t="inlineStr">
        <is>
          <t>Trái nghĩa với narrow-minded / conservative</t>
        </is>
      </c>
    </row>
    <row r="11" ht="36" customHeight="1">
      <c r="A11" s="11" t="n">
        <v>7</v>
      </c>
      <c r="B11" s="7" t="inlineStr">
        <is>
          <t>Unit 3: Cities of the Future</t>
        </is>
      </c>
      <c r="C11" s="8" t="inlineStr">
        <is>
          <t>smart city</t>
        </is>
      </c>
      <c r="D11" s="9" t="inlineStr">
        <is>
          <t>noun phrase | /ˈsmɑːt ˌsɪt.i/</t>
        </is>
      </c>
      <c r="E11" s="10" t="inlineStr">
        <is>
          <t>Đô thị thông minh</t>
        </is>
      </c>
      <c r="F11" s="10" t="inlineStr">
        <is>
          <t>A modern _____ relies heavily on sensor networks and AI technology to manage public utilities and traffic.</t>
        </is>
      </c>
      <c r="G11" s="11" t="inlineStr">
        <is>
          <t>Đã thuộc</t>
        </is>
      </c>
      <c r="H11" s="10" t="inlineStr">
        <is>
          <t>Thuật ngữ xuyên suốt Unit 3</t>
        </is>
      </c>
    </row>
    <row r="12" ht="36" customHeight="1">
      <c r="A12" s="6" t="n">
        <v>8</v>
      </c>
      <c r="B12" s="2" t="inlineStr">
        <is>
          <t>Unit 3: Cities of the Future</t>
        </is>
      </c>
      <c r="C12" s="3" t="inlineStr">
        <is>
          <t>infrastructure</t>
        </is>
      </c>
      <c r="D12" s="4" t="inlineStr">
        <is>
          <t>noun | /ˈɪn.frəˌstrʌk.tʃər/</t>
        </is>
      </c>
      <c r="E12" s="5" t="inlineStr">
        <is>
          <t>Cơ sở hạ tầng</t>
        </is>
      </c>
      <c r="F12" s="5" t="inlineStr">
        <is>
          <t>Developing sustainable transport _____ is essential for reducing traffic congestion in rapidly growing metropolises.</t>
        </is>
      </c>
      <c r="G12" s="6" t="inlineStr">
        <is>
          <t>Đã thuộc</t>
        </is>
      </c>
      <c r="H12" s="5" t="inlineStr">
        <is>
          <t>Trọng âm 1: IN-fra-struc-ture</t>
        </is>
      </c>
    </row>
    <row r="13" ht="36" customHeight="1">
      <c r="A13" s="11" t="n">
        <v>9</v>
      </c>
      <c r="B13" s="7" t="inlineStr">
        <is>
          <t>Unit 3: Cities of the Future</t>
        </is>
      </c>
      <c r="C13" s="8" t="inlineStr">
        <is>
          <t>livable</t>
        </is>
      </c>
      <c r="D13" s="9" t="inlineStr">
        <is>
          <t>adjective | /ˈlɪv.ə.bəl/</t>
        </is>
      </c>
      <c r="E13" s="10" t="inlineStr">
        <is>
          <t>Đáng sống, tiện nghi</t>
        </is>
      </c>
      <c r="F13" s="10" t="inlineStr">
        <is>
          <t>Plentiful green parks and clean air contribute directly to making a metropolis more _____ for its residents.</t>
        </is>
      </c>
      <c r="G13" s="11" t="inlineStr">
        <is>
          <t>Đang học</t>
        </is>
      </c>
      <c r="H13" s="10" t="inlineStr">
        <is>
          <t>Danh từ là livability</t>
        </is>
      </c>
    </row>
    <row r="14" ht="36" customHeight="1">
      <c r="A14" s="6" t="n">
        <v>10</v>
      </c>
      <c r="B14" s="2" t="inlineStr">
        <is>
          <t>Unit 4: ASEAN and Viet Nam</t>
        </is>
      </c>
      <c r="C14" s="3" t="inlineStr">
        <is>
          <t>solidarity</t>
        </is>
      </c>
      <c r="D14" s="4" t="inlineStr">
        <is>
          <t>noun | /ˌsɒl.ɪˈdær.ə.ti/</t>
        </is>
      </c>
      <c r="E14" s="5" t="inlineStr">
        <is>
          <t>Sự đoàn kết, gắn bó</t>
        </is>
      </c>
      <c r="F14" s="5" t="inlineStr">
        <is>
          <t>During times of natural disasters, ASEAN member states always demonstrate profound mutual _____.</t>
        </is>
      </c>
      <c r="G14" s="6" t="inlineStr">
        <is>
          <t>Đã thuộc</t>
        </is>
      </c>
      <c r="H14" s="5" t="inlineStr">
        <is>
          <t>Trọng âm 3: sol-i-DAR-i-ty</t>
        </is>
      </c>
    </row>
    <row r="15" ht="36" customHeight="1">
      <c r="A15" s="11" t="n">
        <v>11</v>
      </c>
      <c r="B15" s="7" t="inlineStr">
        <is>
          <t>Unit 4: ASEAN and Viet Nam</t>
        </is>
      </c>
      <c r="C15" s="8" t="inlineStr">
        <is>
          <t>cultural exchange</t>
        </is>
      </c>
      <c r="D15" s="9" t="inlineStr">
        <is>
          <t>noun phrase | /ˌkʌl.tʃər.əl ɪksˈtʃeɪndʒ/</t>
        </is>
      </c>
      <c r="E15" s="10" t="inlineStr">
        <is>
          <t>Giao lưu văn hóa</t>
        </is>
      </c>
      <c r="F15" s="10" t="inlineStr">
        <is>
          <t>Participating in international youth forums fosters meaningful _____ and mutual understanding.</t>
        </is>
      </c>
      <c r="G15" s="11" t="inlineStr">
        <is>
          <t>Đã thuộc</t>
        </is>
      </c>
      <c r="H15" s="10" t="inlineStr">
        <is>
          <t>Hay gặp trong đề thi nói và viết</t>
        </is>
      </c>
    </row>
    <row r="16" ht="36" customHeight="1">
      <c r="A16" s="6" t="n">
        <v>12</v>
      </c>
      <c r="B16" s="2" t="inlineStr">
        <is>
          <t>Unit 5: Global Warming</t>
        </is>
      </c>
      <c r="C16" s="3" t="inlineStr">
        <is>
          <t>greenhouse gas emission</t>
        </is>
      </c>
      <c r="D16" s="4" t="inlineStr">
        <is>
          <t>noun phrase | /ˈɡriːn.haʊs ɡæs ɪˈmɪʃ.ən/</t>
        </is>
      </c>
      <c r="E16" s="5" t="inlineStr">
        <is>
          <t>Khí thải nhà kính</t>
        </is>
      </c>
      <c r="F16" s="5" t="inlineStr">
        <is>
          <t>International climate agreements obligate major industrial nations to drastically reduce their _____.</t>
        </is>
      </c>
      <c r="G16" s="6" t="inlineStr">
        <is>
          <t>Đang học</t>
        </is>
      </c>
      <c r="H16" s="5" t="inlineStr">
        <is>
          <t>Động từ là emit (phát thải)</t>
        </is>
      </c>
    </row>
    <row r="17" ht="36" customHeight="1">
      <c r="A17" s="11" t="n">
        <v>13</v>
      </c>
      <c r="B17" s="7" t="inlineStr">
        <is>
          <t>Unit 5: Global Warming</t>
        </is>
      </c>
      <c r="C17" s="8" t="inlineStr">
        <is>
          <t>catastrophic</t>
        </is>
      </c>
      <c r="D17" s="9" t="inlineStr">
        <is>
          <t>adjective | /ˌkæt.əˈstrɒf.ɪk/</t>
        </is>
      </c>
      <c r="E17" s="10" t="inlineStr">
        <is>
          <t>Thảm khốc, tàn phá</t>
        </is>
      </c>
      <c r="F17" s="10" t="inlineStr">
        <is>
          <t>Uncontrolled deforestation can cause _____ floods and landslides during severe rainy seasons.</t>
        </is>
      </c>
      <c r="G17" s="11" t="inlineStr">
        <is>
          <t>Cần ôn lại</t>
        </is>
      </c>
      <c r="H17" s="10" t="inlineStr">
        <is>
          <t>Danh từ là catastrophe (thảm họa)</t>
        </is>
      </c>
    </row>
    <row r="18" ht="36" customHeight="1">
      <c r="A18" s="6" t="n">
        <v>14</v>
      </c>
      <c r="B18" s="2" t="inlineStr">
        <is>
          <t>Unit 5: Global Warming</t>
        </is>
      </c>
      <c r="C18" s="3" t="inlineStr">
        <is>
          <t>deforestation</t>
        </is>
      </c>
      <c r="D18" s="4" t="inlineStr">
        <is>
          <t>noun | /diːˌfɒr.ɪˈsteɪ.ʃən/</t>
        </is>
      </c>
      <c r="E18" s="5" t="inlineStr">
        <is>
          <t>Nạn phá rừng</t>
        </is>
      </c>
      <c r="F18" s="5" t="inlineStr">
        <is>
          <t>The rampant rate of _____ in tropical regions releases vast amounts of carbon dioxide into the atmosphere.</t>
        </is>
      </c>
      <c r="G18" s="6" t="inlineStr">
        <is>
          <t>Đã thuộc</t>
        </is>
      </c>
      <c r="H18" s="5" t="inlineStr">
        <is>
          <t>Trái nghĩa với afforestation / reforestation</t>
        </is>
      </c>
    </row>
    <row r="19" ht="36" customHeight="1">
      <c r="A19" s="11" t="n">
        <v>15</v>
      </c>
      <c r="B19" s="7" t="inlineStr">
        <is>
          <t>Unit 6: Preserving Heritage</t>
        </is>
      </c>
      <c r="C19" s="8" t="inlineStr">
        <is>
          <t>cultural heritage</t>
        </is>
      </c>
      <c r="D19" s="9" t="inlineStr">
        <is>
          <t>noun phrase | /ˌkʌl.tʃər.əl ˈher.ɪ.tɪdʒ/</t>
        </is>
      </c>
      <c r="E19" s="10" t="inlineStr">
        <is>
          <t>Di sản văn hóa</t>
        </is>
      </c>
      <c r="F19" s="10" t="inlineStr">
        <is>
          <t>UNESCO recognized the Central Sector of the Imperial Citadel of Thang Long as a World _____ site.</t>
        </is>
      </c>
      <c r="G19" s="11" t="inlineStr">
        <is>
          <t>Đã thuộc</t>
        </is>
      </c>
      <c r="H19" s="10" t="inlineStr">
        <is>
          <t>Phân biệt tangible &amp; intangible heritage</t>
        </is>
      </c>
    </row>
    <row r="20" ht="36" customHeight="1">
      <c r="A20" s="6" t="n">
        <v>16</v>
      </c>
      <c r="B20" s="2" t="inlineStr">
        <is>
          <t>Unit 6: Preserving Heritage</t>
        </is>
      </c>
      <c r="C20" s="3" t="inlineStr">
        <is>
          <t>restore</t>
        </is>
      </c>
      <c r="D20" s="4" t="inlineStr">
        <is>
          <t>verb | /rɪˈstɔːr/</t>
        </is>
      </c>
      <c r="E20" s="5" t="inlineStr">
        <is>
          <t>Trùng tu, phục dựng</t>
        </is>
      </c>
      <c r="F20" s="5" t="inlineStr">
        <is>
          <t>Skillful craftsmen spent years working to _____ the ancient royal palace back to its former glory.</t>
        </is>
      </c>
      <c r="G20" s="6" t="inlineStr">
        <is>
          <t>Đang học</t>
        </is>
      </c>
      <c r="H20" s="5" t="inlineStr">
        <is>
          <t>Danh từ là restoration project</t>
        </is>
      </c>
    </row>
    <row r="21" ht="36" customHeight="1">
      <c r="A21" s="11" t="n">
        <v>17</v>
      </c>
      <c r="B21" s="7" t="inlineStr">
        <is>
          <t>Unit 6: Preserving Heritage</t>
        </is>
      </c>
      <c r="C21" s="8" t="inlineStr">
        <is>
          <t>authentic</t>
        </is>
      </c>
      <c r="D21" s="9" t="inlineStr">
        <is>
          <t>adjective | /ɔːˈθen.tɪk/</t>
        </is>
      </c>
      <c r="E21" s="10" t="inlineStr">
        <is>
          <t>Đích thực, nguyên bản</t>
        </is>
      </c>
      <c r="F21" s="10" t="inlineStr">
        <is>
          <t>Foreign visitors are keen on tasting _____ Vietnamese street food in Hanoi's Old Quarter.</t>
        </is>
      </c>
      <c r="G21" s="11" t="inlineStr">
        <is>
          <t>Đang học</t>
        </is>
      </c>
      <c r="H21" s="10" t="inlineStr">
        <is>
          <t>Danh từ là authenticity</t>
        </is>
      </c>
    </row>
    <row r="22" ht="36" customHeight="1">
      <c r="A22" s="6" t="n">
        <v>18</v>
      </c>
      <c r="B22" s="2" t="inlineStr">
        <is>
          <t>Unit 7: Education for Leavers</t>
        </is>
      </c>
      <c r="C22" s="3" t="inlineStr">
        <is>
          <t>vocational training</t>
        </is>
      </c>
      <c r="D22" s="4" t="inlineStr">
        <is>
          <t>noun phrase | /vəʊˈkeɪ.ʃən.əl ˈtreɪ.nɪŋ/</t>
        </is>
      </c>
      <c r="E22" s="5" t="inlineStr">
        <is>
          <t>Đào tạo nghề</t>
        </is>
      </c>
      <c r="F22" s="5" t="inlineStr">
        <is>
          <t>Rather than going to university, Nam chose _____ to become a certified automotive technician.</t>
        </is>
      </c>
      <c r="G22" s="6" t="inlineStr">
        <is>
          <t>Đã thuộc</t>
        </is>
      </c>
      <c r="H22" s="5" t="inlineStr">
        <is>
          <t>Gốc từ vocation (thiên hướng nghề)</t>
        </is>
      </c>
    </row>
    <row r="23" ht="36" customHeight="1">
      <c r="A23" s="11" t="n">
        <v>19</v>
      </c>
      <c r="B23" s="7" t="inlineStr">
        <is>
          <t>Unit 7: Education for Leavers</t>
        </is>
      </c>
      <c r="C23" s="8" t="inlineStr">
        <is>
          <t>apprenticeship</t>
        </is>
      </c>
      <c r="D23" s="9" t="inlineStr">
        <is>
          <t>noun | /əˈpren.tɪs.ʃɪp/</t>
        </is>
      </c>
      <c r="E23" s="10" t="inlineStr">
        <is>
          <t>Học việc có lương</t>
        </is>
      </c>
      <c r="F23" s="10" t="inlineStr">
        <is>
          <t>Securing an _____ at an engineering firm provided Minh with valuable hands-on job experience.</t>
        </is>
      </c>
      <c r="G23" s="11" t="inlineStr">
        <is>
          <t>Đang học</t>
        </is>
      </c>
      <c r="H23" s="10" t="inlineStr">
        <is>
          <t>Người học việc là apprentice</t>
        </is>
      </c>
    </row>
    <row r="24" ht="36" customHeight="1">
      <c r="A24" s="6" t="n">
        <v>20</v>
      </c>
      <c r="B24" s="2" t="inlineStr">
        <is>
          <t>Unit 8: Becoming Independent</t>
        </is>
      </c>
      <c r="C24" s="3" t="inlineStr">
        <is>
          <t>self-reliant</t>
        </is>
      </c>
      <c r="D24" s="4" t="inlineStr">
        <is>
          <t>adjective | /ˌself.rɪˈlaɪ.ənt/</t>
        </is>
      </c>
      <c r="E24" s="5" t="inlineStr">
        <is>
          <t>Tự lực cánh sinh</t>
        </is>
      </c>
      <c r="F24" s="5" t="inlineStr">
        <is>
          <t>Living away from parents in a university dormitory helps freshmen become mature and _____.</t>
        </is>
      </c>
      <c r="G24" s="6" t="inlineStr">
        <is>
          <t>Đã thuộc</t>
        </is>
      </c>
      <c r="H24" s="5" t="inlineStr">
        <is>
          <t>Danh từ là self-reliance</t>
        </is>
      </c>
    </row>
    <row r="25" ht="36" customHeight="1">
      <c r="A25" s="11" t="n">
        <v>21</v>
      </c>
      <c r="B25" s="7" t="inlineStr">
        <is>
          <t>Unit 8: Becoming Independent</t>
        </is>
      </c>
      <c r="C25" s="8" t="inlineStr">
        <is>
          <t>cope with</t>
        </is>
      </c>
      <c r="D25" s="9" t="inlineStr">
        <is>
          <t>phrasal verb | /kəʊp wɪð/</t>
        </is>
      </c>
      <c r="E25" s="10" t="inlineStr">
        <is>
          <t>Đối phó, đương đầu</t>
        </is>
      </c>
      <c r="F25" s="10" t="inlineStr">
        <is>
          <t>Specialized counseling sessions teach students how to _____ academic anxiety and test stress.</t>
        </is>
      </c>
      <c r="G25" s="11" t="inlineStr">
        <is>
          <t>Đã thuộc</t>
        </is>
      </c>
      <c r="H25" s="10" t="inlineStr">
        <is>
          <t>Lưu ý không dùng 'cope up with'</t>
        </is>
      </c>
    </row>
    <row r="26" ht="36" customHeight="1">
      <c r="A26" s="6" t="n">
        <v>22</v>
      </c>
      <c r="B26" s="2" t="inlineStr">
        <is>
          <t>Unit 9: Social Issues</t>
        </is>
      </c>
      <c r="C26" s="3" t="inlineStr">
        <is>
          <t>cyberbullying</t>
        </is>
      </c>
      <c r="D26" s="4" t="inlineStr">
        <is>
          <t>noun | /ˈsaɪ.bəˌbʊl.i.ɪŋ/</t>
        </is>
      </c>
      <c r="E26" s="5" t="inlineStr">
        <is>
          <t>Bắt nạt qua mạng</t>
        </is>
      </c>
      <c r="F26" s="5" t="inlineStr">
        <is>
          <t>Schools must implement strict digital safety policies to protect students from toxic _____ on social media.</t>
        </is>
      </c>
      <c r="G26" s="6" t="inlineStr">
        <is>
          <t>Đã thuộc</t>
        </is>
      </c>
      <c r="H26" s="5" t="inlineStr">
        <is>
          <t>Chủ đề đạo đức số phổ biến</t>
        </is>
      </c>
    </row>
    <row r="27" ht="36" customHeight="1">
      <c r="A27" s="11" t="n">
        <v>23</v>
      </c>
      <c r="B27" s="7" t="inlineStr">
        <is>
          <t>Unit 9: Social Issues</t>
        </is>
      </c>
      <c r="C27" s="8" t="inlineStr">
        <is>
          <t>peer pressure</t>
        </is>
      </c>
      <c r="D27" s="9" t="inlineStr">
        <is>
          <t>noun phrase | /ˈpɪə ˌpreʃ.ər/</t>
        </is>
      </c>
      <c r="E27" s="10" t="inlineStr">
        <is>
          <t>Áp lực đồng trang lứa</t>
        </is>
      </c>
      <c r="F27" s="10" t="inlineStr">
        <is>
          <t>Young teenagers often struggle to resist negative _____ when their classmates encourage risky behaviors.</t>
        </is>
      </c>
      <c r="G27" s="11" t="inlineStr">
        <is>
          <t>Đã thuộc</t>
        </is>
      </c>
      <c r="H27" s="10" t="inlineStr">
        <is>
          <t>Cụm resist / succumb to peer pressure</t>
        </is>
      </c>
    </row>
    <row r="28" ht="36" customHeight="1">
      <c r="A28" s="6" t="n">
        <v>24</v>
      </c>
      <c r="B28" s="2" t="inlineStr">
        <is>
          <t>Unit 10: The Ecosystem</t>
        </is>
      </c>
      <c r="C28" s="3" t="inlineStr">
        <is>
          <t>biodiversity</t>
        </is>
      </c>
      <c r="D28" s="4" t="inlineStr">
        <is>
          <t>noun | /ˌbaɪ.əʊ.daɪˈvɜː.sə.ti/</t>
        </is>
      </c>
      <c r="E28" s="5" t="inlineStr">
        <is>
          <t>Đa dạng sinh học</t>
        </is>
      </c>
      <c r="F28" s="5" t="inlineStr">
        <is>
          <t>Protecting national parks is vital to safeguard the rich _____ of endangered plants and wildlife.</t>
        </is>
      </c>
      <c r="G28" s="6" t="inlineStr">
        <is>
          <t>Đã thuộc</t>
        </is>
      </c>
      <c r="H28" s="5" t="inlineStr">
        <is>
          <t>Trọng âm 4: bi-o-di-VER-si-ty</t>
        </is>
      </c>
    </row>
    <row r="29" ht="36" customHeight="1">
      <c r="A29" s="11" t="n">
        <v>25</v>
      </c>
      <c r="B29" s="7" t="inlineStr">
        <is>
          <t>Unit 10: The Ecosystem</t>
        </is>
      </c>
      <c r="C29" s="8" t="inlineStr">
        <is>
          <t>extinct</t>
        </is>
      </c>
      <c r="D29" s="9" t="inlineStr">
        <is>
          <t>adjective | /ɪkˈstɪŋkt/</t>
        </is>
      </c>
      <c r="E29" s="10" t="inlineStr">
        <is>
          <t>Tuyệt chủng</t>
        </is>
      </c>
      <c r="F29" s="10" t="inlineStr">
        <is>
          <t>The Javan rhinoceros in Cat Tien National Park was officially declared _____ in 2010.</t>
        </is>
      </c>
      <c r="G29" s="11" t="inlineStr">
        <is>
          <t>Cần ôn lại</t>
        </is>
      </c>
      <c r="H29" s="10" t="inlineStr">
        <is>
          <t>Cụm become extinct / go extinct</t>
        </is>
      </c>
    </row>
  </sheetData>
  <autoFilter ref="A4:H29"/>
  <mergeCells count="2">
    <mergeCell ref="A2:H2"/>
    <mergeCell ref="A1:H1"/>
  </mergeCells>
  <conditionalFormatting sqref="G5:G29">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29"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2026-08-18T09:17:44Z</dcterms:created>
  <dcterms:modified xmlns:dcterms="http://purl.org/dc/terms/" xmlns:xsi="http://www.w3.org/2001/XMLSchema-instance" xsi:type="dcterms:W3CDTF">2026-08-18T09:18:02Z</dcterms:modified>
</cp:coreProperties>
</file>