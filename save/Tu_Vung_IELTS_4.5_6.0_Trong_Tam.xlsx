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ừ Vựng IELTS 4.5 - 6.0" sheetId="1" state="visible" r:id="rId1"/>
    <sheet xmlns:r="http://schemas.openxmlformats.org/officeDocument/2006/relationships" name="Tổng Quan &amp; Thống Kê" sheetId="2" state="visible" r:id="rId2"/>
    <sheet xmlns:r="http://schemas.openxmlformats.org/officeDocument/2006/relationships" name="Flashcard &amp; Luyện Tập" sheetId="3" state="visible" r:id="rId3"/>
  </sheets>
  <definedNames>
    <definedName name="_xlnm._FilterDatabase" localSheetId="0" hidden="1">'Từ Vựng IELTS 4.5 - 6.0'!$A$1:$L$217</definedName>
    <definedName name="_xlnm._FilterDatabase" localSheetId="2" hidden="1">'Flashcard &amp; Luyện Tập'!$A$4:$H$40</definedName>
  </definedNames>
  <calcPr calcId="124519" fullCalcOnLoad="1"/>
</workbook>
</file>

<file path=xl/styles.xml><?xml version="1.0" encoding="utf-8"?>
<styleSheet xmlns="http://schemas.openxmlformats.org/spreadsheetml/2006/main">
  <numFmts count="1">
    <numFmt numFmtId="164" formatCode="0.0%"/>
  </numFmts>
  <fonts count="9">
    <font>
      <name val="Calibri"/>
      <family val="2"/>
      <color theme="1"/>
      <sz val="11"/>
      <scheme val="minor"/>
    </font>
    <font>
      <name val="Segoe UI"/>
      <b val="1"/>
      <color rgb="00FFFFFF"/>
      <sz val="11"/>
    </font>
    <font>
      <name val="Segoe UI"/>
      <color rgb="000F172A"/>
      <sz val="10"/>
    </font>
    <font>
      <name val="Segoe UI"/>
      <b val="1"/>
      <color rgb="000F172A"/>
      <sz val="10"/>
    </font>
    <font>
      <name val="Segoe UI"/>
      <i val="1"/>
      <color rgb="00475569"/>
      <sz val="10"/>
    </font>
    <font>
      <name val="Segoe UI"/>
      <b val="1"/>
      <color rgb="000E7490"/>
      <sz val="16"/>
    </font>
    <font>
      <name val="Segoe UI"/>
      <b val="1"/>
      <color rgb="00475569"/>
      <sz val="9"/>
    </font>
    <font>
      <name val="Segoe UI"/>
      <b val="1"/>
      <color rgb="000891B2"/>
      <sz val="18"/>
    </font>
    <font>
      <name val="Segoe UI"/>
      <b val="1"/>
      <color rgb="000E7490"/>
      <sz val="12"/>
    </font>
  </fonts>
  <fills count="6">
    <fill>
      <patternFill/>
    </fill>
    <fill>
      <patternFill patternType="gray125"/>
    </fill>
    <fill>
      <patternFill patternType="solid">
        <fgColor rgb="000E7490"/>
        <bgColor rgb="000E7490"/>
      </patternFill>
    </fill>
    <fill>
      <patternFill patternType="solid">
        <fgColor rgb="00F8FAFC"/>
        <bgColor rgb="00F8FAFC"/>
      </patternFill>
    </fill>
    <fill>
      <patternFill patternType="solid">
        <fgColor rgb="00FFFFFF"/>
        <bgColor rgb="00FFFFFF"/>
      </patternFill>
    </fill>
    <fill>
      <patternFill patternType="solid">
        <fgColor rgb="00ECFEFF"/>
        <bgColor rgb="00ECFEFF"/>
      </patternFill>
    </fill>
  </fills>
  <borders count="3">
    <border>
      <left/>
      <right/>
      <top/>
      <bottom/>
      <diagonal/>
    </border>
    <border>
      <left style="thin">
        <color rgb="00CBD5E1"/>
      </left>
      <right style="thin">
        <color rgb="00CBD5E1"/>
      </right>
      <top style="thin">
        <color rgb="00CBD5E1"/>
      </top>
      <bottom style="medium">
        <color rgb="00164E63"/>
      </bottom>
    </border>
    <border>
      <left style="thin">
        <color rgb="00CBD5E1"/>
      </left>
      <right style="thin">
        <color rgb="00CBD5E1"/>
      </right>
      <top style="thin">
        <color rgb="00CBD5E1"/>
      </top>
      <bottom style="thin">
        <color rgb="00CBD5E1"/>
      </bottom>
    </border>
  </borders>
  <cellStyleXfs count="1">
    <xf numFmtId="0" fontId="0" fillId="0" borderId="0"/>
  </cellStyleXfs>
  <cellXfs count="25">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3" fillId="3" borderId="2" applyAlignment="1" pivotButton="0" quotePrefix="0" xfId="0">
      <alignment horizontal="left" vertical="center" wrapText="1"/>
    </xf>
    <xf numFmtId="0" fontId="4" fillId="3" borderId="2" applyAlignment="1" pivotButton="0" quotePrefix="0" xfId="0">
      <alignment horizontal="center" vertical="center" wrapText="1"/>
    </xf>
    <xf numFmtId="0" fontId="2" fillId="3" borderId="2" applyAlignment="1" pivotButton="0" quotePrefix="0" xfId="0">
      <alignment horizontal="left" vertical="center" wrapText="1"/>
    </xf>
    <xf numFmtId="0" fontId="3" fillId="3" borderId="2" applyAlignment="1" pivotButton="0" quotePrefix="0" xfId="0">
      <alignment horizontal="center" vertical="center" wrapText="1"/>
    </xf>
    <xf numFmtId="0" fontId="2" fillId="4" borderId="2" applyAlignment="1" pivotButton="0" quotePrefix="0" xfId="0">
      <alignment horizontal="center" vertical="center" wrapText="1"/>
    </xf>
    <xf numFmtId="0" fontId="3" fillId="4" borderId="2" applyAlignment="1" pivotButton="0" quotePrefix="0" xfId="0">
      <alignment horizontal="left" vertical="center" wrapText="1"/>
    </xf>
    <xf numFmtId="0" fontId="4" fillId="4" borderId="2" applyAlignment="1" pivotButton="0" quotePrefix="0" xfId="0">
      <alignment horizontal="center" vertical="center" wrapText="1"/>
    </xf>
    <xf numFmtId="0" fontId="2" fillId="4" borderId="2" applyAlignment="1" pivotButton="0" quotePrefix="0" xfId="0">
      <alignment horizontal="left" vertical="center" wrapText="1"/>
    </xf>
    <xf numFmtId="0" fontId="3" fillId="4" borderId="2" applyAlignment="1" pivotButton="0" quotePrefix="0" xfId="0">
      <alignment horizontal="center" vertical="center" wrapText="1"/>
    </xf>
    <xf numFmtId="0" fontId="5" fillId="0" borderId="0" applyAlignment="1" pivotButton="0" quotePrefix="0" xfId="0">
      <alignment horizontal="left" vertical="center"/>
    </xf>
    <xf numFmtId="0" fontId="4" fillId="0" borderId="0" applyAlignment="1" pivotButton="0" quotePrefix="0" xfId="0">
      <alignment horizontal="left" vertical="center"/>
    </xf>
    <xf numFmtId="0" fontId="6" fillId="3" borderId="2" applyAlignment="1" pivotButton="0" quotePrefix="0" xfId="0">
      <alignment horizontal="center" vertical="center" wrapText="1"/>
    </xf>
    <xf numFmtId="0" fontId="0" fillId="0" borderId="2" pivotButton="0" quotePrefix="0" xfId="0"/>
    <xf numFmtId="0" fontId="7" fillId="3" borderId="2" applyAlignment="1" pivotButton="0" quotePrefix="0" xfId="0">
      <alignment horizontal="center" vertical="center" wrapText="1"/>
    </xf>
    <xf numFmtId="0" fontId="8" fillId="0" borderId="0" pivotButton="0" quotePrefix="0" xfId="0"/>
    <xf numFmtId="164" fontId="2" fillId="3" borderId="2" applyAlignment="1" pivotButton="0" quotePrefix="0" xfId="0">
      <alignment horizontal="right" vertical="center" wrapText="1"/>
    </xf>
    <xf numFmtId="164" fontId="2" fillId="4" borderId="2" applyAlignment="1" pivotButton="0" quotePrefix="0" xfId="0">
      <alignment horizontal="right" vertical="center" wrapText="1"/>
    </xf>
    <xf numFmtId="0" fontId="3" fillId="5" borderId="1" applyAlignment="1" pivotButton="0" quotePrefix="0" xfId="0">
      <alignment horizontal="center" vertical="center" wrapText="1"/>
    </xf>
    <xf numFmtId="164" fontId="3" fillId="5" borderId="1" applyAlignment="1" pivotButton="0" quotePrefix="0" xfId="0">
      <alignment horizontal="right" vertical="center" wrapText="1"/>
    </xf>
    <xf numFmtId="0" fontId="3" fillId="5" borderId="1" applyAlignment="1" pivotButton="0" quotePrefix="0" xfId="0">
      <alignment horizontal="left" vertical="center" wrapText="1"/>
    </xf>
    <xf numFmtId="0" fontId="3" fillId="5" borderId="0" pivotButton="0" quotePrefix="0" xfId="0"/>
    <xf numFmtId="0" fontId="2" fillId="0" borderId="0" applyAlignment="1" pivotButton="0" quotePrefix="0" xfId="0">
      <alignment horizontal="left" vertical="center" wrapText="1"/>
    </xf>
  </cellXfs>
  <cellStyles count="1">
    <cellStyle name="Normal" xfId="0" builtinId="0" hidden="0"/>
  </cellStyles>
  <dxfs count="3">
    <dxf>
      <font>
        <name val="Segoe UI"/>
        <b val="1"/>
        <color rgb="0015803D"/>
        <sz val="10"/>
      </font>
      <fill>
        <patternFill patternType="solid">
          <fgColor rgb="00DCFCE7"/>
          <bgColor rgb="00DCFCE7"/>
        </patternFill>
      </fill>
    </dxf>
    <dxf>
      <font>
        <name val="Segoe UI"/>
        <b val="1"/>
        <color rgb="00A16207"/>
        <sz val="10"/>
      </font>
      <fill>
        <patternFill patternType="solid">
          <fgColor rgb="00FEF9C3"/>
          <bgColor rgb="00FEF9C3"/>
        </patternFill>
      </fill>
    </dxf>
    <dxf>
      <font>
        <name val="Segoe UI"/>
        <b val="1"/>
        <color rgb="00B91C1C"/>
        <sz val="10"/>
      </font>
      <fill>
        <patternFill patternType="solid">
          <fgColor rgb="00FEE2E2"/>
          <bgColor rgb="00FEE2E2"/>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charts/chart1.xml><?xml version="1.0" encoding="utf-8"?>
<chartSpace xmlns="http://schemas.openxmlformats.org/drawingml/2006/chart">
  <style val="10"/>
  <chart>
    <title>
      <tx>
        <rich>
          <a:bodyPr xmlns:a="http://schemas.openxmlformats.org/drawingml/2006/main"/>
          <a:p xmlns:a="http://schemas.openxmlformats.org/drawingml/2006/main">
            <a:pPr>
              <a:defRPr/>
            </a:pPr>
            <a:r>
              <a:t>Số Lượng Từ Vựng Theo 12 Chủ Đề IELTS 4.5 - 6.0</a:t>
            </a:r>
          </a:p>
        </rich>
      </tx>
    </title>
    <plotArea>
      <barChart>
        <barDir val="col"/>
        <grouping val="clustered"/>
        <ser>
          <idx val="0"/>
          <order val="0"/>
          <tx>
            <strRef>
              <f>'Tổng Quan &amp; Thống Kê'!B9</f>
            </strRef>
          </tx>
          <spPr>
            <a:ln xmlns:a="http://schemas.openxmlformats.org/drawingml/2006/main">
              <a:prstDash val="solid"/>
            </a:ln>
          </spPr>
          <cat>
            <numRef>
              <f>'Tổng Quan &amp; Thống Kê'!$A$10:$A$21</f>
            </numRef>
          </cat>
          <val>
            <numRef>
              <f>'Tổng Quan &amp; Thống Kê'!$B$10:$B$21</f>
            </numRef>
          </val>
        </ser>
        <gapWidth val="150"/>
        <axId val="10"/>
        <axId val="100"/>
      </barChart>
      <catAx>
        <axId val="10"/>
        <scaling>
          <orientation val="minMax"/>
        </scaling>
        <axPos val="l"/>
        <title>
          <tx>
            <rich>
              <a:bodyPr xmlns:a="http://schemas.openxmlformats.org/drawingml/2006/main"/>
              <a:p xmlns:a="http://schemas.openxmlformats.org/drawingml/2006/main">
                <a:pPr>
                  <a:defRPr/>
                </a:pPr>
                <a:r>
                  <a:t>Chủ đề IELTS</a:t>
                </a:r>
              </a:p>
            </rich>
          </tx>
        </title>
        <majorTickMark val="none"/>
        <minorTickMark val="none"/>
        <crossAx val="100"/>
        <lblOffset val="100"/>
      </catAx>
      <valAx>
        <axId val="100"/>
        <scaling>
          <orientation val="minMax"/>
        </scaling>
        <axPos val="l"/>
        <majorGridlines/>
        <title>
          <tx>
            <rich>
              <a:bodyPr xmlns:a="http://schemas.openxmlformats.org/drawingml/2006/main"/>
              <a:p xmlns:a="http://schemas.openxmlformats.org/drawingml/2006/main">
                <a:pPr>
                  <a:defRPr/>
                </a:pPr>
                <a:r>
                  <a:t>Số lượng từ vựng</a:t>
                </a:r>
              </a:p>
            </rich>
          </tx>
        </title>
        <majorTickMark val="none"/>
        <minorTickMark val="none"/>
        <crossAx val="10"/>
      </valAx>
    </plotArea>
    <plotVisOnly val="1"/>
    <dispBlanksAs val="gap"/>
  </chart>
</chartSpace>
</file>

<file path=xl/charts/chart2.xml><?xml version="1.0" encoding="utf-8"?>
<chartSpace xmlns="http://schemas.openxmlformats.org/drawingml/2006/chart">
  <chart>
    <title>
      <tx>
        <rich>
          <a:bodyPr xmlns:a="http://schemas.openxmlformats.org/drawingml/2006/main"/>
          <a:p xmlns:a="http://schemas.openxmlformats.org/drawingml/2006/main">
            <a:pPr>
              <a:defRPr/>
            </a:pPr>
            <a:r>
              <a:t>Tỷ Lệ Phân Bố Cấp Độ CEFR (A2 - B1 - B2)</a:t>
            </a:r>
          </a:p>
        </rich>
      </tx>
    </title>
    <plotArea>
      <pieChart>
        <varyColors val="1"/>
        <ser>
          <idx val="0"/>
          <order val="0"/>
          <tx>
            <strRef>
              <f>'Tổng Quan &amp; Thống Kê'!G9</f>
            </strRef>
          </tx>
          <spPr>
            <a:ln xmlns:a="http://schemas.openxmlformats.org/drawingml/2006/main">
              <a:prstDash val="solid"/>
            </a:ln>
          </spPr>
          <cat>
            <numRef>
              <f>'Tổng Quan &amp; Thống Kê'!$F$10:$F$12</f>
            </numRef>
          </cat>
          <val>
            <numRef>
              <f>'Tổng Quan &amp; Thống Kê'!$G$10:$G$12</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Relationship Type="http://schemas.openxmlformats.org/officeDocument/2006/relationships/chart" Target="/xl/charts/chart2.xml" Id="rId2"/></Relationships>
</file>

<file path=xl/drawings/drawing1.xml><?xml version="1.0" encoding="utf-8"?>
<wsDr xmlns="http://schemas.openxmlformats.org/drawingml/2006/spreadsheetDrawing">
  <oneCellAnchor>
    <from>
      <col>0</col>
      <colOff>0</colOff>
      <row>23</row>
      <rowOff>0</rowOff>
    </from>
    <ext cx="6480000" cy="3600000"/>
    <graphicFrame>
      <nvGraphicFramePr>
        <cNvPr id="1" name="Chart 1"/>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1"/>
        </a:graphicData>
      </a:graphic>
    </graphicFrame>
    <clientData/>
  </oneCellAnchor>
  <oneCellAnchor>
    <from>
      <col>5</col>
      <colOff>0</colOff>
      <row>14</row>
      <rowOff>0</rowOff>
    </from>
    <ext cx="5040000" cy="3600000"/>
    <graphicFrame>
      <nvGraphicFramePr>
        <cNvPr id="2" name="Chart 2"/>
        <cNvGraphicFramePr/>
      </nvGraphicFramePr>
      <xfrm/>
      <a:graphic xmlns:a="http://schemas.openxmlformats.org/drawingml/2006/main">
        <a:graphicData uri="http://schemas.openxmlformats.org/drawingml/2006/chart">
          <c:chart xmlns:c="http://schemas.openxmlformats.org/drawingml/2006/chart" xmlns:r="http://schemas.openxmlformats.org/officeDocument/2006/relationships" r:id="rId2"/>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Relationships>
</file>

<file path=xl/worksheets/sheet1.xml><?xml version="1.0" encoding="utf-8"?>
<worksheet xmlns="http://schemas.openxmlformats.org/spreadsheetml/2006/main">
  <sheetPr>
    <outlinePr summaryBelow="1" summaryRight="1"/>
    <pageSetUpPr/>
  </sheetPr>
  <dimension ref="A1:L217"/>
  <sheetViews>
    <sheetView workbookViewId="0">
      <pane ySplit="1" topLeftCell="A2" activePane="bottomLeft" state="frozen"/>
      <selection pane="bottomLeft" activeCell="A1" sqref="A1"/>
    </sheetView>
  </sheetViews>
  <sheetFormatPr baseColWidth="8" defaultRowHeight="15"/>
  <cols>
    <col width="26" customWidth="1" min="1" max="1"/>
    <col width="24" customWidth="1" min="2" max="2"/>
    <col width="18" customWidth="1" min="3" max="3"/>
    <col width="22" customWidth="1" min="4" max="4"/>
    <col width="38" customWidth="1" min="5" max="5"/>
    <col width="10" customWidth="1" min="6" max="6"/>
    <col width="50" customWidth="1" min="7" max="7"/>
    <col width="32" customWidth="1" min="8" max="8"/>
    <col width="28" customWidth="1" min="9" max="9"/>
    <col width="40" customWidth="1" min="10" max="10"/>
    <col width="42" customWidth="1" min="11" max="11"/>
    <col width="16" customWidth="1" min="12" max="12"/>
  </cols>
  <sheetData>
    <row r="1" ht="28" customHeight="1">
      <c r="A1" s="1" t="inlineStr">
        <is>
          <t>Topic</t>
        </is>
      </c>
      <c r="B1" s="1" t="inlineStr">
        <is>
          <t>Term</t>
        </is>
      </c>
      <c r="C1" s="1" t="inlineStr">
        <is>
          <t>PartOfSpeech</t>
        </is>
      </c>
      <c r="D1" s="1" t="inlineStr">
        <is>
          <t>Phonetic</t>
        </is>
      </c>
      <c r="E1" s="1" t="inlineStr">
        <is>
          <t>Definition</t>
        </is>
      </c>
      <c r="F1" s="1" t="inlineStr">
        <is>
          <t>CEFR</t>
        </is>
      </c>
      <c r="G1" s="1" t="inlineStr">
        <is>
          <t>Example</t>
        </is>
      </c>
      <c r="H1" s="1" t="inlineStr">
        <is>
          <t>Synonyms</t>
        </is>
      </c>
      <c r="I1" s="1" t="inlineStr">
        <is>
          <t>Antonyms</t>
        </is>
      </c>
      <c r="J1" s="1" t="inlineStr">
        <is>
          <t>Collocations</t>
        </is>
      </c>
      <c r="K1" s="1" t="inlineStr">
        <is>
          <t>Note</t>
        </is>
      </c>
      <c r="L1" s="1" t="inlineStr">
        <is>
          <t>Status</t>
        </is>
      </c>
    </row>
    <row r="2" ht="42" customHeight="1">
      <c r="A2" s="2" t="inlineStr">
        <is>
          <t>Education &amp; School Life</t>
        </is>
      </c>
      <c r="B2" s="3" t="inlineStr">
        <is>
          <t>academic</t>
        </is>
      </c>
      <c r="C2" s="4" t="inlineStr">
        <is>
          <t>adjective</t>
        </is>
      </c>
      <c r="D2" s="2" t="inlineStr">
        <is>
          <t>/ˌæk.əˈdem.ɪk/</t>
        </is>
      </c>
      <c r="E2" s="5" t="inlineStr">
        <is>
          <t>Thuộc về học thuật, học tập tại trường viện</t>
        </is>
      </c>
      <c r="F2" s="6" t="inlineStr">
        <is>
          <t>B1</t>
        </is>
      </c>
      <c r="G2" s="5" t="inlineStr">
        <is>
          <t>Students who possess strong academic performance often receive university scholarships.</t>
        </is>
      </c>
      <c r="H2" s="5" t="inlineStr">
        <is>
          <t>scholarly, educational, theoretical</t>
        </is>
      </c>
      <c r="I2" s="5" t="inlineStr">
        <is>
          <t>practical, non-academic, vocational</t>
        </is>
      </c>
      <c r="J2" s="5" t="inlineStr">
        <is>
          <t>academic performance, academic year, academic achievement</t>
        </is>
      </c>
      <c r="K2" s="5" t="inlineStr">
        <is>
          <t>Danh từ: academy (học viện), academician (viện sĩ).</t>
        </is>
      </c>
      <c r="L2" s="6" t="inlineStr">
        <is>
          <t>Đã thuộc</t>
        </is>
      </c>
    </row>
    <row r="3" ht="42" customHeight="1">
      <c r="A3" s="7" t="inlineStr">
        <is>
          <t>Education &amp; School Life</t>
        </is>
      </c>
      <c r="B3" s="8" t="inlineStr">
        <is>
          <t>curriculum</t>
        </is>
      </c>
      <c r="C3" s="9" t="inlineStr">
        <is>
          <t>noun</t>
        </is>
      </c>
      <c r="D3" s="7" t="inlineStr">
        <is>
          <t>/kəˈrɪk.jə.ləm/</t>
        </is>
      </c>
      <c r="E3" s="10" t="inlineStr">
        <is>
          <t>Khung chương trình giảng dạy của nhà trường</t>
        </is>
      </c>
      <c r="F3" s="11" t="inlineStr">
        <is>
          <t>B2</t>
        </is>
      </c>
      <c r="G3" s="10" t="inlineStr">
        <is>
          <t>The school curriculum includes basic mathematics, science, literature, and foreign languages.</t>
        </is>
      </c>
      <c r="H3" s="10" t="inlineStr">
        <is>
          <t>syllabus, study program, course of study</t>
        </is>
      </c>
      <c r="I3" s="10" t="inlineStr">
        <is>
          <t>extracurricular activity</t>
        </is>
      </c>
      <c r="J3" s="10" t="inlineStr">
        <is>
          <t>national curriculum, school curriculum, core curriculum</t>
        </is>
      </c>
      <c r="K3" s="10" t="inlineStr">
        <is>
          <t>Số nhiều: curricula /kəˈrɪk.jə.lə/ hoặc curriculums.</t>
        </is>
      </c>
      <c r="L3" s="11" t="inlineStr">
        <is>
          <t>Đang học</t>
        </is>
      </c>
    </row>
    <row r="4" ht="42" customHeight="1">
      <c r="A4" s="2" t="inlineStr">
        <is>
          <t>Education &amp; School Life</t>
        </is>
      </c>
      <c r="B4" s="3" t="inlineStr">
        <is>
          <t>extracurricular</t>
        </is>
      </c>
      <c r="C4" s="4" t="inlineStr">
        <is>
          <t>adjective</t>
        </is>
      </c>
      <c r="D4" s="2" t="inlineStr">
        <is>
          <t>/ˌek.strə.kəˈrɪk.jə.lər/</t>
        </is>
      </c>
      <c r="E4" s="5" t="inlineStr">
        <is>
          <t>Ngoại khóa, diễn ra ngoài giờ học chính khóa</t>
        </is>
      </c>
      <c r="F4" s="6" t="inlineStr">
        <is>
          <t>B1</t>
        </is>
      </c>
      <c r="G4" s="5" t="inlineStr">
        <is>
          <t>Participating in extracurricular activities like sports helps teenagers develop soft skills.</t>
        </is>
      </c>
      <c r="H4" s="5" t="inlineStr">
        <is>
          <t>after-school, non-academic, co-curricular</t>
        </is>
      </c>
      <c r="I4" s="5" t="inlineStr">
        <is>
          <t>curricular, academic, core</t>
        </is>
      </c>
      <c r="J4" s="5" t="inlineStr">
        <is>
          <t>extracurricular activities, extracurricular program, join clubs</t>
        </is>
      </c>
      <c r="K4" s="5" t="inlineStr">
        <is>
          <t>Extra- (bên ngoài) + curricular (thuộc chương trình học).</t>
        </is>
      </c>
      <c r="L4" s="6" t="inlineStr">
        <is>
          <t>Đã thuộc</t>
        </is>
      </c>
    </row>
    <row r="5" ht="42" customHeight="1">
      <c r="A5" s="7" t="inlineStr">
        <is>
          <t>Education &amp; School Life</t>
        </is>
      </c>
      <c r="B5" s="8" t="inlineStr">
        <is>
          <t>discipline</t>
        </is>
      </c>
      <c r="C5" s="9" t="inlineStr">
        <is>
          <t>noun/verb</t>
        </is>
      </c>
      <c r="D5" s="7" t="inlineStr">
        <is>
          <t>/ˈdɪs.ə.plɪn/</t>
        </is>
      </c>
      <c r="E5" s="10" t="inlineStr">
        <is>
          <t>Tính kỷ luật / Rèn luyện kỷ luật; một ngành học</t>
        </is>
      </c>
      <c r="F5" s="11" t="inlineStr">
        <is>
          <t>B1</t>
        </is>
      </c>
      <c r="G5" s="10" t="inlineStr">
        <is>
          <t>Self-discipline is essential for students who want to study independently at home.</t>
        </is>
      </c>
      <c r="H5" s="10" t="inlineStr">
        <is>
          <t>self-control, orderliness, regulation</t>
        </is>
      </c>
      <c r="I5" s="10" t="inlineStr">
        <is>
          <t>indiscipline, disorder, chaos</t>
        </is>
      </c>
      <c r="J5" s="10" t="inlineStr">
        <is>
          <t>maintain discipline, strict discipline, self-discipline</t>
        </is>
      </c>
      <c r="K5" s="10" t="inlineStr">
        <is>
          <t>Tính từ: disciplined. Trái nghĩa: undisciplined.</t>
        </is>
      </c>
      <c r="L5" s="11" t="inlineStr">
        <is>
          <t>Đã thuộc</t>
        </is>
      </c>
    </row>
    <row r="6" ht="42" customHeight="1">
      <c r="A6" s="2" t="inlineStr">
        <is>
          <t>Education &amp; School Life</t>
        </is>
      </c>
      <c r="B6" s="3" t="inlineStr">
        <is>
          <t>tuition fee</t>
        </is>
      </c>
      <c r="C6" s="4" t="inlineStr">
        <is>
          <t>noun phrase</t>
        </is>
      </c>
      <c r="D6" s="2" t="inlineStr">
        <is>
          <t>/tjuːˈɪʃ.ən fiː/</t>
        </is>
      </c>
      <c r="E6" s="5" t="inlineStr">
        <is>
          <t>Học phí phải trả cho việc học tập tại trường</t>
        </is>
      </c>
      <c r="F6" s="6" t="inlineStr">
        <is>
          <t>B1</t>
        </is>
      </c>
      <c r="G6" s="5" t="inlineStr">
        <is>
          <t>Rising university tuition fees make higher education unaffordable for poor families.</t>
        </is>
      </c>
      <c r="H6" s="5" t="inlineStr">
        <is>
          <t>tuition costs, school fees, course costs</t>
        </is>
      </c>
      <c r="I6" s="5" t="inlineStr">
        <is>
          <t>scholarship, grant, bursary</t>
        </is>
      </c>
      <c r="J6" s="5" t="inlineStr">
        <is>
          <t>pay tuition fees, affordable tuition fees, high tuition fees</t>
        </is>
      </c>
      <c r="K6" s="5" t="inlineStr">
        <is>
          <t>Thường dùng ở dạng số nhiều: tuition fees.</t>
        </is>
      </c>
      <c r="L6" s="6" t="inlineStr">
        <is>
          <t>Đã thuộc</t>
        </is>
      </c>
    </row>
    <row r="7" ht="42" customHeight="1">
      <c r="A7" s="7" t="inlineStr">
        <is>
          <t>Education &amp; School Life</t>
        </is>
      </c>
      <c r="B7" s="8" t="inlineStr">
        <is>
          <t>compulsory</t>
        </is>
      </c>
      <c r="C7" s="9" t="inlineStr">
        <is>
          <t>adjective</t>
        </is>
      </c>
      <c r="D7" s="7" t="inlineStr">
        <is>
          <t>/kəmˈpʌl.sər.i/</t>
        </is>
      </c>
      <c r="E7" s="10" t="inlineStr">
        <is>
          <t>Bắt buộc theo quy định hoặc luật lệ</t>
        </is>
      </c>
      <c r="F7" s="11" t="inlineStr">
        <is>
          <t>B1</t>
        </is>
      </c>
      <c r="G7" s="10" t="inlineStr">
        <is>
          <t>Primary education is compulsory for all children aged six to eleven in Vietnam.</t>
        </is>
      </c>
      <c r="H7" s="10" t="inlineStr">
        <is>
          <t>mandatory, obligatory, required, enforced</t>
        </is>
      </c>
      <c r="I7" s="10" t="inlineStr">
        <is>
          <t>optional, voluntary, elective</t>
        </is>
      </c>
      <c r="J7" s="10" t="inlineStr">
        <is>
          <t>compulsory education, compulsory subject, compulsory military service</t>
        </is>
      </c>
      <c r="K7" s="10" t="inlineStr">
        <is>
          <t>Động từ: compel (bắt buộc). Danh từ: compulsion.</t>
        </is>
      </c>
      <c r="L7" s="11" t="inlineStr">
        <is>
          <t>Đang học</t>
        </is>
      </c>
    </row>
    <row r="8" ht="42" customHeight="1">
      <c r="A8" s="2" t="inlineStr">
        <is>
          <t>Education &amp; School Life</t>
        </is>
      </c>
      <c r="B8" s="3" t="inlineStr">
        <is>
          <t>vocational</t>
        </is>
      </c>
      <c r="C8" s="4" t="inlineStr">
        <is>
          <t>adjective</t>
        </is>
      </c>
      <c r="D8" s="2" t="inlineStr">
        <is>
          <t>/vəʊˈkeɪ.ʃən.əl/</t>
        </is>
      </c>
      <c r="E8" s="5" t="inlineStr">
        <is>
          <t>Thuộc về đào tạo nghề, hướng nghiệp thực hành</t>
        </is>
      </c>
      <c r="F8" s="6" t="inlineStr">
        <is>
          <t>B2</t>
        </is>
      </c>
      <c r="G8" s="5" t="inlineStr">
        <is>
          <t>Vocational schools provide practical training in culinary arts, mechanics, and IT repair.</t>
        </is>
      </c>
      <c r="H8" s="5" t="inlineStr">
        <is>
          <t>career-oriented, technical, skill-based</t>
        </is>
      </c>
      <c r="I8" s="5" t="inlineStr">
        <is>
          <t>purely academic, theoretical</t>
        </is>
      </c>
      <c r="J8" s="5" t="inlineStr">
        <is>
          <t>vocational training, vocational school, vocational qualification</t>
        </is>
      </c>
      <c r="K8" s="5" t="inlineStr">
        <is>
          <t>Danh từ: vocation (thiên hướng nghề nghiệp phù hợp).</t>
        </is>
      </c>
      <c r="L8" s="6" t="inlineStr">
        <is>
          <t>Đang học</t>
        </is>
      </c>
    </row>
    <row r="9" ht="42" customHeight="1">
      <c r="A9" s="7" t="inlineStr">
        <is>
          <t>Education &amp; School Life</t>
        </is>
      </c>
      <c r="B9" s="8" t="inlineStr">
        <is>
          <t>scholarship</t>
        </is>
      </c>
      <c r="C9" s="9" t="inlineStr">
        <is>
          <t>noun</t>
        </is>
      </c>
      <c r="D9" s="7" t="inlineStr">
        <is>
          <t>/ˈskɒl.ə.ʃɪp/</t>
        </is>
      </c>
      <c r="E9" s="10" t="inlineStr">
        <is>
          <t>Học bổng cấp cho học sinh giỏi hoặc khó khăn</t>
        </is>
      </c>
      <c r="F9" s="11" t="inlineStr">
        <is>
          <t>B1</t>
        </is>
      </c>
      <c r="G9" s="10" t="inlineStr">
        <is>
          <t>She won a full scholarship to study environmental science in the United Kingdom.</t>
        </is>
      </c>
      <c r="H9" s="10" t="inlineStr">
        <is>
          <t>grant, financial aid, fellowship, bursary</t>
        </is>
      </c>
      <c r="I9" s="10" t="inlineStr">
        <is>
          <t>tuition debt, student loan</t>
        </is>
      </c>
      <c r="J9" s="10" t="inlineStr">
        <is>
          <t>win a scholarship, apply for a scholarship, full scholarship</t>
        </is>
      </c>
      <c r="K9" s="10" t="inlineStr">
        <is>
          <t>Người nhận học bổng / học giả: scholar.</t>
        </is>
      </c>
      <c r="L9" s="11" t="inlineStr">
        <is>
          <t>Đã thuộc</t>
        </is>
      </c>
    </row>
    <row r="10" ht="42" customHeight="1">
      <c r="A10" s="2" t="inlineStr">
        <is>
          <t>Education &amp; School Life</t>
        </is>
      </c>
      <c r="B10" s="3" t="inlineStr">
        <is>
          <t>evaluate</t>
        </is>
      </c>
      <c r="C10" s="4" t="inlineStr">
        <is>
          <t>verb</t>
        </is>
      </c>
      <c r="D10" s="2" t="inlineStr">
        <is>
          <t>/ɪˈvæl.ju.eɪt/</t>
        </is>
      </c>
      <c r="E10" s="5" t="inlineStr">
        <is>
          <t>Đánh giá, chấm điểm chất lượng hoặc tiến độ học tập</t>
        </is>
      </c>
      <c r="F10" s="6" t="inlineStr">
        <is>
          <t>B2</t>
        </is>
      </c>
      <c r="G10" s="5" t="inlineStr">
        <is>
          <t>Teachers evaluate student progress through weekly presentations and semester exams.</t>
        </is>
      </c>
      <c r="H10" s="5" t="inlineStr">
        <is>
          <t>assess, appraise, judge, rate, grade</t>
        </is>
      </c>
      <c r="I10" s="5" t="inlineStr">
        <is>
          <t>neglect, disregard, ignore</t>
        </is>
      </c>
      <c r="J10" s="5" t="inlineStr">
        <is>
          <t>evaluate progress, evaluate performance, carefully evaluate</t>
        </is>
      </c>
      <c r="K10" s="5" t="inlineStr">
        <is>
          <t>Danh từ: evaluation /ɪˌvæl.juˈeɪ.ʃən/ (sự đánh giá).</t>
        </is>
      </c>
      <c r="L10" s="6" t="inlineStr">
        <is>
          <t>Đang học</t>
        </is>
      </c>
    </row>
    <row r="11" ht="42" customHeight="1">
      <c r="A11" s="7" t="inlineStr">
        <is>
          <t>Education &amp; School Life</t>
        </is>
      </c>
      <c r="B11" s="8" t="inlineStr">
        <is>
          <t>qualification</t>
        </is>
      </c>
      <c r="C11" s="9" t="inlineStr">
        <is>
          <t>noun</t>
        </is>
      </c>
      <c r="D11" s="7" t="inlineStr">
        <is>
          <t>/ˌkwɒl.ɪ.fɪˈkeɪ.ʃən/</t>
        </is>
      </c>
      <c r="E11" s="10" t="inlineStr">
        <is>
          <t>Bằng cấp, chứng chỉ chuyên môn hợp lệ</t>
        </is>
      </c>
      <c r="F11" s="11" t="inlineStr">
        <is>
          <t>B1</t>
        </is>
      </c>
      <c r="G11" s="10" t="inlineStr">
        <is>
          <t>Having an internationally recognized English qualification improves job prospects.</t>
        </is>
      </c>
      <c r="H11" s="10" t="inlineStr">
        <is>
          <t>certificate, diploma, credential, degree</t>
        </is>
      </c>
      <c r="I11" s="10" t="inlineStr">
        <is>
          <t>incompetence, lack of skills</t>
        </is>
      </c>
      <c r="J11" s="10" t="inlineStr">
        <is>
          <t>gain a qualification, formal qualifications, academic qualification</t>
        </is>
      </c>
      <c r="K11" s="10" t="inlineStr">
        <is>
          <t>Động từ: qualify (qualify for a job).</t>
        </is>
      </c>
      <c r="L11" s="11" t="inlineStr">
        <is>
          <t>Đã thuộc</t>
        </is>
      </c>
    </row>
    <row r="12" ht="42" customHeight="1">
      <c r="A12" s="2" t="inlineStr">
        <is>
          <t>Education &amp; School Life</t>
        </is>
      </c>
      <c r="B12" s="3" t="inlineStr">
        <is>
          <t>memorize</t>
        </is>
      </c>
      <c r="C12" s="4" t="inlineStr">
        <is>
          <t>verb</t>
        </is>
      </c>
      <c r="D12" s="2" t="inlineStr">
        <is>
          <t>/ˈmem.ə.raɪz/</t>
        </is>
      </c>
      <c r="E12" s="5" t="inlineStr">
        <is>
          <t>Ghi nhớ, học thuộc lòng thông tin hoặc từ vựng</t>
        </is>
      </c>
      <c r="F12" s="6" t="inlineStr">
        <is>
          <t>B1</t>
        </is>
      </c>
      <c r="G12" s="5" t="inlineStr">
        <is>
          <t>Instead of trying to memorize whole paragraphs, learn key concepts and keywords.</t>
        </is>
      </c>
      <c r="H12" s="5" t="inlineStr">
        <is>
          <t>learn by heart, commit to memory, remember</t>
        </is>
      </c>
      <c r="I12" s="5" t="inlineStr">
        <is>
          <t>forget, overlook, unlearn</t>
        </is>
      </c>
      <c r="J12" s="5" t="inlineStr">
        <is>
          <t>memorize vocabulary, memorize formulas, memorize facts</t>
        </is>
      </c>
      <c r="K12" s="5" t="inlineStr">
        <is>
          <t>Danh từ: memory (trí nhớ / kỷ niệm).</t>
        </is>
      </c>
      <c r="L12" s="6" t="inlineStr">
        <is>
          <t>Đã thuộc</t>
        </is>
      </c>
    </row>
    <row r="13" ht="42" customHeight="1">
      <c r="A13" s="7" t="inlineStr">
        <is>
          <t>Education &amp; School Life</t>
        </is>
      </c>
      <c r="B13" s="8" t="inlineStr">
        <is>
          <t>plagiarism</t>
        </is>
      </c>
      <c r="C13" s="9" t="inlineStr">
        <is>
          <t>noun</t>
        </is>
      </c>
      <c r="D13" s="7" t="inlineStr">
        <is>
          <t>/ˈpleɪ.dʒər.ɪ.zəm/</t>
        </is>
      </c>
      <c r="E13" s="10" t="inlineStr">
        <is>
          <t>Hành vi đạo văn, sao chép ý tưởng không trích dẫn</t>
        </is>
      </c>
      <c r="F13" s="11" t="inlineStr">
        <is>
          <t>B2</t>
        </is>
      </c>
      <c r="G13" s="10" t="inlineStr">
        <is>
          <t>Universities use specialized detection software to detect and penalize student plagiarism.</t>
        </is>
      </c>
      <c r="H13" s="10" t="inlineStr">
        <is>
          <t>copying, intellectual theft, piracy</t>
        </is>
      </c>
      <c r="I13" s="10" t="inlineStr">
        <is>
          <t>original work, authentic creation</t>
        </is>
      </c>
      <c r="J13" s="10" t="inlineStr">
        <is>
          <t>accused of plagiarism, commit plagiarism, prevent plagiarism</t>
        </is>
      </c>
      <c r="K13" s="10" t="inlineStr">
        <is>
          <t>Động từ: plagiarize /ˈpleɪ.dʒər.aɪz/. Kẻ đạo văn: plagiarist.</t>
        </is>
      </c>
      <c r="L13" s="11" t="inlineStr">
        <is>
          <t>Cần ôn lại</t>
        </is>
      </c>
    </row>
    <row r="14" ht="42" customHeight="1">
      <c r="A14" s="2" t="inlineStr">
        <is>
          <t>Education &amp; School Life</t>
        </is>
      </c>
      <c r="B14" s="3" t="inlineStr">
        <is>
          <t>peer</t>
        </is>
      </c>
      <c r="C14" s="4" t="inlineStr">
        <is>
          <t>noun</t>
        </is>
      </c>
      <c r="D14" s="2" t="inlineStr">
        <is>
          <t>/pɪər/</t>
        </is>
      </c>
      <c r="E14" s="5" t="inlineStr">
        <is>
          <t>Bạn đồng trang lứa, người cùng lứa tuổi hoặc địa vị</t>
        </is>
      </c>
      <c r="F14" s="6" t="inlineStr">
        <is>
          <t>B1</t>
        </is>
      </c>
      <c r="G14" s="5" t="inlineStr">
        <is>
          <t>Working in groups allows teenagers to exchange creative ideas with their peers.</t>
        </is>
      </c>
      <c r="H14" s="5" t="inlineStr">
        <is>
          <t>classmate, contemporary, equal, companion</t>
        </is>
      </c>
      <c r="I14" s="5" t="inlineStr">
        <is>
          <t>superior, elder, subordinate</t>
        </is>
      </c>
      <c r="J14" s="5" t="inlineStr">
        <is>
          <t>peer pressure, peer group, interact with peers, peer review</t>
        </is>
      </c>
      <c r="K14" s="5" t="inlineStr">
        <is>
          <t>Peer pressure = áp lực đồng trang lứa.</t>
        </is>
      </c>
      <c r="L14" s="6" t="inlineStr">
        <is>
          <t>Đã thuộc</t>
        </is>
      </c>
    </row>
    <row r="15" ht="42" customHeight="1">
      <c r="A15" s="7" t="inlineStr">
        <is>
          <t>Education &amp; School Life</t>
        </is>
      </c>
      <c r="B15" s="8" t="inlineStr">
        <is>
          <t>attendance</t>
        </is>
      </c>
      <c r="C15" s="9" t="inlineStr">
        <is>
          <t>noun</t>
        </is>
      </c>
      <c r="D15" s="7" t="inlineStr">
        <is>
          <t>/əˈten.dəns/</t>
        </is>
      </c>
      <c r="E15" s="10" t="inlineStr">
        <is>
          <t>Sự hiện diện, sự có mặt và điểm danh trong lớp học</t>
        </is>
      </c>
      <c r="F15" s="11" t="inlineStr">
        <is>
          <t>B1</t>
        </is>
      </c>
      <c r="G15" s="10" t="inlineStr">
        <is>
          <t>Regular class attendance is required to be eligible for final examinations.</t>
        </is>
      </c>
      <c r="H15" s="10" t="inlineStr">
        <is>
          <t>presence, participation, turnout</t>
        </is>
      </c>
      <c r="I15" s="10" t="inlineStr">
        <is>
          <t>absence, truancy, non-attendance</t>
        </is>
      </c>
      <c r="J15" s="10" t="inlineStr">
        <is>
          <t>class attendance, poor attendance, check attendance</t>
        </is>
      </c>
      <c r="K15" s="10" t="inlineStr">
        <is>
          <t>Động từ: attend. Người tham dự: attendee.</t>
        </is>
      </c>
      <c r="L15" s="11" t="inlineStr">
        <is>
          <t>Đã thuộc</t>
        </is>
      </c>
    </row>
    <row r="16" ht="42" customHeight="1">
      <c r="A16" s="2" t="inlineStr">
        <is>
          <t>Education &amp; School Life</t>
        </is>
      </c>
      <c r="B16" s="3" t="inlineStr">
        <is>
          <t>assignment</t>
        </is>
      </c>
      <c r="C16" s="4" t="inlineStr">
        <is>
          <t>noun</t>
        </is>
      </c>
      <c r="D16" s="2" t="inlineStr">
        <is>
          <t>/əˈsaɪn.mənt/</t>
        </is>
      </c>
      <c r="E16" s="5" t="inlineStr">
        <is>
          <t>Bài tập lớn, nhiệm vụ học tập được giao</t>
        </is>
      </c>
      <c r="F16" s="6" t="inlineStr">
        <is>
          <t>B1</t>
        </is>
      </c>
      <c r="G16" s="5" t="inlineStr">
        <is>
          <t>Students must submit their written assignment by Friday midnight on the portal.</t>
        </is>
      </c>
      <c r="H16" s="5" t="inlineStr">
        <is>
          <t>task, project, homework, coursework</t>
        </is>
      </c>
      <c r="I16" s="5" t="inlineStr">
        <is>
          <t>free time, leisure</t>
        </is>
      </c>
      <c r="J16" s="5" t="inlineStr">
        <is>
          <t>submit an assignment, complete an assignment, assignment deadline</t>
        </is>
      </c>
      <c r="K16" s="5" t="inlineStr">
        <is>
          <t>Động từ: assign (giao nhiệm vụ).</t>
        </is>
      </c>
      <c r="L16" s="6" t="inlineStr">
        <is>
          <t>Đã thuộc</t>
        </is>
      </c>
    </row>
    <row r="17" ht="42" customHeight="1">
      <c r="A17" s="7" t="inlineStr">
        <is>
          <t>Education &amp; School Life</t>
        </is>
      </c>
      <c r="B17" s="8" t="inlineStr">
        <is>
          <t>literacy</t>
        </is>
      </c>
      <c r="C17" s="9" t="inlineStr">
        <is>
          <t>noun</t>
        </is>
      </c>
      <c r="D17" s="7" t="inlineStr">
        <is>
          <t>/ˈlɪt.ər.ə.si/</t>
        </is>
      </c>
      <c r="E17" s="10" t="inlineStr">
        <is>
          <t>Năng lực đọc viết cơ bản; sự hiểu biết về một lĩnh vực</t>
        </is>
      </c>
      <c r="F17" s="11" t="inlineStr">
        <is>
          <t>B1</t>
        </is>
      </c>
      <c r="G17" s="10" t="inlineStr">
        <is>
          <t>Financial literacy should be taught early to help young people manage money wisely.</t>
        </is>
      </c>
      <c r="H17" s="10" t="inlineStr">
        <is>
          <t>ability to read and write, competence</t>
        </is>
      </c>
      <c r="I17" s="10" t="inlineStr">
        <is>
          <t>illiteracy, ignorance</t>
        </is>
      </c>
      <c r="J17" s="10" t="inlineStr">
        <is>
          <t>literacy rate, computer literacy, financial literacy</t>
        </is>
      </c>
      <c r="K17" s="10" t="inlineStr">
        <is>
          <t>Tính từ: literate. Trái nghĩa: illiterate (mù chữ).</t>
        </is>
      </c>
      <c r="L17" s="11" t="inlineStr">
        <is>
          <t>Đang học</t>
        </is>
      </c>
    </row>
    <row r="18" ht="42" customHeight="1">
      <c r="A18" s="2" t="inlineStr">
        <is>
          <t>Education &amp; School Life</t>
        </is>
      </c>
      <c r="B18" s="3" t="inlineStr">
        <is>
          <t>distance learning</t>
        </is>
      </c>
      <c r="C18" s="4" t="inlineStr">
        <is>
          <t>noun phrase</t>
        </is>
      </c>
      <c r="D18" s="2" t="inlineStr">
        <is>
          <t>/ˌdɪs.təns ˈlɜː.nɪŋ/</t>
        </is>
      </c>
      <c r="E18" s="5" t="inlineStr">
        <is>
          <t>Hình thức học từ xa qua mạng Internet</t>
        </is>
      </c>
      <c r="F18" s="6" t="inlineStr">
        <is>
          <t>B1</t>
        </is>
      </c>
      <c r="G18" s="5" t="inlineStr">
        <is>
          <t>Distance learning provides flexible schedules for people who work full-time jobs.</t>
        </is>
      </c>
      <c r="H18" s="5" t="inlineStr">
        <is>
          <t>e-learning, online education, remote study</t>
        </is>
      </c>
      <c r="I18" s="5" t="inlineStr">
        <is>
          <t>traditional classroom learning, in-person study</t>
        </is>
      </c>
      <c r="J18" s="5" t="inlineStr">
        <is>
          <t>enroll in distance learning, distance learning program</t>
        </is>
      </c>
      <c r="K18" s="5" t="inlineStr">
        <is>
          <t>Đồng nghĩa với online education / remote learning.</t>
        </is>
      </c>
      <c r="L18" s="6" t="inlineStr">
        <is>
          <t>Đã thuộc</t>
        </is>
      </c>
    </row>
    <row r="19" ht="42" customHeight="1">
      <c r="A19" s="7" t="inlineStr">
        <is>
          <t>Education &amp; School Life</t>
        </is>
      </c>
      <c r="B19" s="8" t="inlineStr">
        <is>
          <t>co-educational</t>
        </is>
      </c>
      <c r="C19" s="9" t="inlineStr">
        <is>
          <t>adjective</t>
        </is>
      </c>
      <c r="D19" s="7" t="inlineStr">
        <is>
          <t>/ˌkəʊ.edʒ.uˈkeɪ.ʃən.əl/</t>
        </is>
      </c>
      <c r="E19" s="10" t="inlineStr">
        <is>
          <t>Học chung cả nam và nữ (trường hỗn hợp hai giới)</t>
        </is>
      </c>
      <c r="F19" s="11" t="inlineStr">
        <is>
          <t>B2</t>
        </is>
      </c>
      <c r="G19" s="10" t="inlineStr">
        <is>
          <t>Most modern schools in Vietnam are co-educational institutions.</t>
        </is>
      </c>
      <c r="H19" s="10" t="inlineStr">
        <is>
          <t>mixed-gender, co-ed</t>
        </is>
      </c>
      <c r="I19" s="10" t="inlineStr">
        <is>
          <t>single-sex, unisex</t>
        </is>
      </c>
      <c r="J19" s="10" t="inlineStr">
        <is>
          <t>co-educational school, co-educational system, co-ed university</t>
        </is>
      </c>
      <c r="K19" s="10" t="inlineStr">
        <is>
          <t>Viết tắt thân mật: co-ed /ˌkəʊˈed/.</t>
        </is>
      </c>
      <c r="L19" s="11" t="inlineStr">
        <is>
          <t>Đang học</t>
        </is>
      </c>
    </row>
    <row r="20" ht="42" customHeight="1">
      <c r="A20" s="2" t="inlineStr">
        <is>
          <t>Environment &amp; Climate</t>
        </is>
      </c>
      <c r="B20" s="3" t="inlineStr">
        <is>
          <t>contamination</t>
        </is>
      </c>
      <c r="C20" s="4" t="inlineStr">
        <is>
          <t>noun</t>
        </is>
      </c>
      <c r="D20" s="2" t="inlineStr">
        <is>
          <t>/kənˌtæm.ɪˈneɪ.ʃən/</t>
        </is>
      </c>
      <c r="E20" s="5" t="inlineStr">
        <is>
          <t>Sự ô nhiễm, nhiễm độc do hóa chất</t>
        </is>
      </c>
      <c r="F20" s="6" t="inlineStr">
        <is>
          <t>B2</t>
        </is>
      </c>
      <c r="G20" s="5" t="inlineStr">
        <is>
          <t>Chemical leakage from the factory caused severe groundwater contamination.</t>
        </is>
      </c>
      <c r="H20" s="5" t="inlineStr">
        <is>
          <t>pollution, poisoning, taint</t>
        </is>
      </c>
      <c r="I20" s="5" t="inlineStr">
        <is>
          <t>purification, cleanliness</t>
        </is>
      </c>
      <c r="J20" s="5" t="inlineStr">
        <is>
          <t>water contamination, soil contamination, severe contamination</t>
        </is>
      </c>
      <c r="K20" s="5" t="inlineStr">
        <is>
          <t>Động từ: contaminate /kənˈtæm.ɪ.neɪt/.</t>
        </is>
      </c>
      <c r="L20" s="6" t="inlineStr">
        <is>
          <t>Đang học</t>
        </is>
      </c>
    </row>
    <row r="21" ht="42" customHeight="1">
      <c r="A21" s="7" t="inlineStr">
        <is>
          <t>Environment &amp; Climate</t>
        </is>
      </c>
      <c r="B21" s="8" t="inlineStr">
        <is>
          <t>deforestation</t>
        </is>
      </c>
      <c r="C21" s="9" t="inlineStr">
        <is>
          <t>noun</t>
        </is>
      </c>
      <c r="D21" s="7" t="inlineStr">
        <is>
          <t>/diːˌfɒr.ɪˈsteɪ.ʃən/</t>
        </is>
      </c>
      <c r="E21" s="10" t="inlineStr">
        <is>
          <t>Nạn chặt phá rừng quy mô lớn</t>
        </is>
      </c>
      <c r="F21" s="11" t="inlineStr">
        <is>
          <t>B1</t>
        </is>
      </c>
      <c r="G21" s="10" t="inlineStr">
        <is>
          <t>Illegal deforestation in tropical regions threatens wildlife habitats.</t>
        </is>
      </c>
      <c r="H21" s="10" t="inlineStr">
        <is>
          <t>forest clearance, logging</t>
        </is>
      </c>
      <c r="I21" s="10" t="inlineStr">
        <is>
          <t>afforestation, reforestation</t>
        </is>
      </c>
      <c r="J21" s="10" t="inlineStr">
        <is>
          <t>combat deforestation, cause deforestation, rapid deforestation</t>
        </is>
      </c>
      <c r="K21" s="10" t="inlineStr">
        <is>
          <t>De- (hủy bỏ) + forest (rừng).</t>
        </is>
      </c>
      <c r="L21" s="11" t="inlineStr">
        <is>
          <t>Đã thuộc</t>
        </is>
      </c>
    </row>
    <row r="22" ht="42" customHeight="1">
      <c r="A22" s="2" t="inlineStr">
        <is>
          <t>Environment &amp; Climate</t>
        </is>
      </c>
      <c r="B22" s="3" t="inlineStr">
        <is>
          <t>biodiversity</t>
        </is>
      </c>
      <c r="C22" s="4" t="inlineStr">
        <is>
          <t>noun</t>
        </is>
      </c>
      <c r="D22" s="2" t="inlineStr">
        <is>
          <t>/ˌbaɪ.əʊ.daɪˈvɜː.sə.ti/</t>
        </is>
      </c>
      <c r="E22" s="5" t="inlineStr">
        <is>
          <t>Sự đa dạng sinh học của động thực vật</t>
        </is>
      </c>
      <c r="F22" s="6" t="inlineStr">
        <is>
          <t>B2</t>
        </is>
      </c>
      <c r="G22" s="5" t="inlineStr">
        <is>
          <t>National parks preserve the rich biodiversity of native plants and animals.</t>
        </is>
      </c>
      <c r="H22" s="5" t="inlineStr">
        <is>
          <t>ecological diversity, species richness</t>
        </is>
      </c>
      <c r="I22" s="5" t="inlineStr">
        <is>
          <t>monoculture, ecological uniformity</t>
        </is>
      </c>
      <c r="J22" s="5" t="inlineStr">
        <is>
          <t>preserve biodiversity, loss of biodiversity, rich biodiversity</t>
        </is>
      </c>
      <c r="K22" s="5" t="inlineStr">
        <is>
          <t>Trọng âm 4: bi-o-di-VER-si-ty.</t>
        </is>
      </c>
      <c r="L22" s="6" t="inlineStr">
        <is>
          <t>Đã thuộc</t>
        </is>
      </c>
    </row>
    <row r="23" ht="42" customHeight="1">
      <c r="A23" s="7" t="inlineStr">
        <is>
          <t>Environment &amp; Climate</t>
        </is>
      </c>
      <c r="B23" s="8" t="inlineStr">
        <is>
          <t>endangered</t>
        </is>
      </c>
      <c r="C23" s="9" t="inlineStr">
        <is>
          <t>adjective</t>
        </is>
      </c>
      <c r="D23" s="7" t="inlineStr">
        <is>
          <t>/ɪnˈdeɪn.dʒəd/</t>
        </is>
      </c>
      <c r="E23" s="10" t="inlineStr">
        <is>
          <t>Có nguy cơ tuyệt chủng trong tự nhiên</t>
        </is>
      </c>
      <c r="F23" s="11" t="inlineStr">
        <is>
          <t>B1</t>
        </is>
      </c>
      <c r="G23" s="10" t="inlineStr">
        <is>
          <t>The giant panda is one of the most famous endangered animals in the world.</t>
        </is>
      </c>
      <c r="H23" s="10" t="inlineStr">
        <is>
          <t>threatened, at risk, vulnerable</t>
        </is>
      </c>
      <c r="I23" s="10" t="inlineStr">
        <is>
          <t>abundant, thriving, common</t>
        </is>
      </c>
      <c r="J23" s="10" t="inlineStr">
        <is>
          <t>endangered species, critically endangered, endangered wildlife</t>
        </is>
      </c>
      <c r="K23" s="10" t="inlineStr">
        <is>
          <t>Động từ: endanger (gây nguy hiểm).</t>
        </is>
      </c>
      <c r="L23" s="11" t="inlineStr">
        <is>
          <t>Đã thuộc</t>
        </is>
      </c>
    </row>
    <row r="24" ht="42" customHeight="1">
      <c r="A24" s="2" t="inlineStr">
        <is>
          <t>Environment &amp; Climate</t>
        </is>
      </c>
      <c r="B24" s="3" t="inlineStr">
        <is>
          <t>renewable</t>
        </is>
      </c>
      <c r="C24" s="4" t="inlineStr">
        <is>
          <t>adjective</t>
        </is>
      </c>
      <c r="D24" s="2" t="inlineStr">
        <is>
          <t>/rɪˈnjuː.ə.bəl/</t>
        </is>
      </c>
      <c r="E24" s="5" t="inlineStr">
        <is>
          <t>Có thể tái tạo, không bị cạn kiệt</t>
        </is>
      </c>
      <c r="F24" s="6" t="inlineStr">
        <is>
          <t>B1</t>
        </is>
      </c>
      <c r="G24" s="5" t="inlineStr">
        <is>
          <t>Solar and wind energy are clean, renewable sources of electricity.</t>
        </is>
      </c>
      <c r="H24" s="5" t="inlineStr">
        <is>
          <t>sustainable, inexhaustible, green</t>
        </is>
      </c>
      <c r="I24" s="5" t="inlineStr">
        <is>
          <t>non-renewable, exhaustible, finite</t>
        </is>
      </c>
      <c r="J24" s="5" t="inlineStr">
        <is>
          <t>renewable energy, renewable resources, renewable power</t>
        </is>
      </c>
      <c r="K24" s="5" t="inlineStr">
        <is>
          <t>Gốc từ: re- + new + -able.</t>
        </is>
      </c>
      <c r="L24" s="6" t="inlineStr">
        <is>
          <t>Đã thuộc</t>
        </is>
      </c>
    </row>
    <row r="25" ht="42" customHeight="1">
      <c r="A25" s="7" t="inlineStr">
        <is>
          <t>Environment &amp; Climate</t>
        </is>
      </c>
      <c r="B25" s="8" t="inlineStr">
        <is>
          <t>fossil fuel</t>
        </is>
      </c>
      <c r="C25" s="9" t="inlineStr">
        <is>
          <t>noun phrase</t>
        </is>
      </c>
      <c r="D25" s="7" t="inlineStr">
        <is>
          <t>/ˈfɒs.əl ˌfjuː.əl/</t>
        </is>
      </c>
      <c r="E25" s="10" t="inlineStr">
        <is>
          <t>Nhiên liệu hóa thạch (than đá, dầu mỏ, khí đốt)</t>
        </is>
      </c>
      <c r="F25" s="11" t="inlineStr">
        <is>
          <t>B1</t>
        </is>
      </c>
      <c r="G25" s="10" t="inlineStr">
        <is>
          <t>Burning fossil fuels releases immense amounts of carbon dioxide.</t>
        </is>
      </c>
      <c r="H25" s="10" t="inlineStr">
        <is>
          <t>conventional fuel, hydrocarbons</t>
        </is>
      </c>
      <c r="I25" s="10" t="inlineStr">
        <is>
          <t>clean energy, solar power</t>
        </is>
      </c>
      <c r="J25" s="10" t="inlineStr">
        <is>
          <t>burn fossil fuels, reliance on fossil fuels, phase out fossil fuels</t>
        </is>
      </c>
      <c r="K25" s="10" t="inlineStr">
        <is>
          <t>Cụm 'phase out fossil fuels' = loại bỏ dần nhiên liệu hóa thạch.</t>
        </is>
      </c>
      <c r="L25" s="11" t="inlineStr">
        <is>
          <t>Đang học</t>
        </is>
      </c>
    </row>
    <row r="26" ht="42" customHeight="1">
      <c r="A26" s="2" t="inlineStr">
        <is>
          <t>Environment &amp; Climate</t>
        </is>
      </c>
      <c r="B26" s="3" t="inlineStr">
        <is>
          <t>extinct</t>
        </is>
      </c>
      <c r="C26" s="4" t="inlineStr">
        <is>
          <t>adjective</t>
        </is>
      </c>
      <c r="D26" s="2" t="inlineStr">
        <is>
          <t>/ɪkˈstɪŋkt/</t>
        </is>
      </c>
      <c r="E26" s="5" t="inlineStr">
        <is>
          <t>Đã tuyệt chủng, không còn tồn tại</t>
        </is>
      </c>
      <c r="F26" s="6" t="inlineStr">
        <is>
          <t>B1</t>
        </is>
      </c>
      <c r="G26" s="5" t="inlineStr">
        <is>
          <t>Dinosaurs became extinct millions of years before humans appeared on Earth.</t>
        </is>
      </c>
      <c r="H26" s="5" t="inlineStr">
        <is>
          <t>died out, wiped out, vanished</t>
        </is>
      </c>
      <c r="I26" s="5" t="inlineStr">
        <is>
          <t>extant, alive, surviving</t>
        </is>
      </c>
      <c r="J26" s="5" t="inlineStr">
        <is>
          <t>become extinct, go extinct, on the verge of extinction</t>
        </is>
      </c>
      <c r="K26" s="5" t="inlineStr">
        <is>
          <t>Danh từ: extinction (sự tuyệt chủng).</t>
        </is>
      </c>
      <c r="L26" s="6" t="inlineStr">
        <is>
          <t>Đã thuộc</t>
        </is>
      </c>
    </row>
    <row r="27" ht="42" customHeight="1">
      <c r="A27" s="7" t="inlineStr">
        <is>
          <t>Environment &amp; Climate</t>
        </is>
      </c>
      <c r="B27" s="8" t="inlineStr">
        <is>
          <t>emission</t>
        </is>
      </c>
      <c r="C27" s="9" t="inlineStr">
        <is>
          <t>noun</t>
        </is>
      </c>
      <c r="D27" s="7" t="inlineStr">
        <is>
          <t>/iˈmɪʃ.ən/</t>
        </is>
      </c>
      <c r="E27" s="10" t="inlineStr">
        <is>
          <t>Sự phát thải, lượng khí thải tỏa ra</t>
        </is>
      </c>
      <c r="F27" s="11" t="inlineStr">
        <is>
          <t>B2</t>
        </is>
      </c>
      <c r="G27" s="10" t="inlineStr">
        <is>
          <t>Strict laws aim to cut carbon emissions produced by private vehicles.</t>
        </is>
      </c>
      <c r="H27" s="10" t="inlineStr">
        <is>
          <t>discharge, release, outflow</t>
        </is>
      </c>
      <c r="I27" s="10" t="inlineStr">
        <is>
          <t>absorption, intake</t>
        </is>
      </c>
      <c r="J27" s="10" t="inlineStr">
        <is>
          <t>carbon emissions, cut emissions, greenhouse gas emissions</t>
        </is>
      </c>
      <c r="K27" s="10" t="inlineStr">
        <is>
          <t>Động từ: emit /iˈmɪt/.</t>
        </is>
      </c>
      <c r="L27" s="11" t="inlineStr">
        <is>
          <t>Đang học</t>
        </is>
      </c>
    </row>
    <row r="28" ht="42" customHeight="1">
      <c r="A28" s="2" t="inlineStr">
        <is>
          <t>Environment &amp; Climate</t>
        </is>
      </c>
      <c r="B28" s="3" t="inlineStr">
        <is>
          <t>drought</t>
        </is>
      </c>
      <c r="C28" s="4" t="inlineStr">
        <is>
          <t>noun</t>
        </is>
      </c>
      <c r="D28" s="2" t="inlineStr">
        <is>
          <t>/draʊt/</t>
        </is>
      </c>
      <c r="E28" s="5" t="inlineStr">
        <is>
          <t>Hạn hán kéo dài do thiếu mưa</t>
        </is>
      </c>
      <c r="F28" s="6" t="inlineStr">
        <is>
          <t>B1</t>
        </is>
      </c>
      <c r="G28" s="5" t="inlineStr">
        <is>
          <t>A severe drought ruined crops and caused water shortages in the province.</t>
        </is>
      </c>
      <c r="H28" s="5" t="inlineStr">
        <is>
          <t>dry spell, water shortage, aridity</t>
        </is>
      </c>
      <c r="I28" s="5" t="inlineStr">
        <is>
          <t>flood, deluge, inundation</t>
        </is>
      </c>
      <c r="J28" s="5" t="inlineStr">
        <is>
          <t>severe drought, prolonged drought, suffer from drought</t>
        </is>
      </c>
      <c r="K28" s="5" t="inlineStr">
        <is>
          <t>Phát âm vần /aʊt/.</t>
        </is>
      </c>
      <c r="L28" s="6" t="inlineStr">
        <is>
          <t>Đã thuộc</t>
        </is>
      </c>
    </row>
    <row r="29" ht="42" customHeight="1">
      <c r="A29" s="7" t="inlineStr">
        <is>
          <t>Environment &amp; Climate</t>
        </is>
      </c>
      <c r="B29" s="8" t="inlineStr">
        <is>
          <t>habitat</t>
        </is>
      </c>
      <c r="C29" s="9" t="inlineStr">
        <is>
          <t>noun</t>
        </is>
      </c>
      <c r="D29" s="7" t="inlineStr">
        <is>
          <t>/ˈhæb.ɪ.tæt/</t>
        </is>
      </c>
      <c r="E29" s="10" t="inlineStr">
        <is>
          <t>Môi trường sống tự nhiên của động thực vật</t>
        </is>
      </c>
      <c r="F29" s="11" t="inlineStr">
        <is>
          <t>B1</t>
        </is>
      </c>
      <c r="G29" s="10" t="inlineStr">
        <is>
          <t>Urban expansion destroys the natural habitat of wild birds.</t>
        </is>
      </c>
      <c r="H29" s="10" t="inlineStr">
        <is>
          <t>natural environment, living territory</t>
        </is>
      </c>
      <c r="I29" s="10" t="inlineStr">
        <is>
          <t>captivity, enclosure</t>
        </is>
      </c>
      <c r="J29" s="10" t="inlineStr">
        <is>
          <t>natural habitat, destroy habitat, habitat loss</t>
        </is>
      </c>
      <c r="K29" s="10" t="inlineStr">
        <is>
          <t>Phân biệt với habit (thói quen).</t>
        </is>
      </c>
      <c r="L29" s="11" t="inlineStr">
        <is>
          <t>Đã thuộc</t>
        </is>
      </c>
    </row>
    <row r="30" ht="42" customHeight="1">
      <c r="A30" s="2" t="inlineStr">
        <is>
          <t>Environment &amp; Climate</t>
        </is>
      </c>
      <c r="B30" s="3" t="inlineStr">
        <is>
          <t>ecosystem</t>
        </is>
      </c>
      <c r="C30" s="4" t="inlineStr">
        <is>
          <t>noun</t>
        </is>
      </c>
      <c r="D30" s="2" t="inlineStr">
        <is>
          <t>/ˈiː.kəʊˌsɪs.təm/</t>
        </is>
      </c>
      <c r="E30" s="5" t="inlineStr">
        <is>
          <t>Hệ sinh thái gồm sinh vật và môi trường sống</t>
        </is>
      </c>
      <c r="F30" s="6" t="inlineStr">
        <is>
          <t>B1</t>
        </is>
      </c>
      <c r="G30" s="5" t="inlineStr">
        <is>
          <t>Pollution in rivers can disrupt the balance of the aquatic ecosystem.</t>
        </is>
      </c>
      <c r="H30" s="5" t="inlineStr">
        <is>
          <t>ecological system, natural community</t>
        </is>
      </c>
      <c r="I30" s="5" t="inlineStr">
        <is>
          <t>N/A</t>
        </is>
      </c>
      <c r="J30" s="5" t="inlineStr">
        <is>
          <t>fragile ecosystem, marine ecosystem, protect the ecosystem</t>
        </is>
      </c>
      <c r="K30" s="5" t="inlineStr">
        <is>
          <t>Eco- + system.</t>
        </is>
      </c>
      <c r="L30" s="6" t="inlineStr">
        <is>
          <t>Đã thuộc</t>
        </is>
      </c>
    </row>
    <row r="31" ht="42" customHeight="1">
      <c r="A31" s="7" t="inlineStr">
        <is>
          <t>Environment &amp; Climate</t>
        </is>
      </c>
      <c r="B31" s="8" t="inlineStr">
        <is>
          <t>greenhouse effect</t>
        </is>
      </c>
      <c r="C31" s="9" t="inlineStr">
        <is>
          <t>noun phrase</t>
        </is>
      </c>
      <c r="D31" s="7" t="inlineStr">
        <is>
          <t>/ˈɡriːn.haʊs ɪˌfekt/</t>
        </is>
      </c>
      <c r="E31" s="10" t="inlineStr">
        <is>
          <t>Hiệu ứng nhà kính làm Trái Đất ấm lên</t>
        </is>
      </c>
      <c r="F31" s="11" t="inlineStr">
        <is>
          <t>B1</t>
        </is>
      </c>
      <c r="G31" s="10" t="inlineStr">
        <is>
          <t>Gases like carbon dioxide and methane intensify the greenhouse effect.</t>
        </is>
      </c>
      <c r="H31" s="10" t="inlineStr">
        <is>
          <t>global warming mechanism</t>
        </is>
      </c>
      <c r="I31" s="10" t="inlineStr">
        <is>
          <t>N/A</t>
        </is>
      </c>
      <c r="J31" s="10" t="inlineStr">
        <is>
          <t>cause greenhouse effect, greenhouse gases, reduce greenhouse effect</t>
        </is>
      </c>
      <c r="K31" s="10" t="inlineStr">
        <is>
          <t>Phân biệt hiệu ứng và khí nhà kính.</t>
        </is>
      </c>
      <c r="L31" s="11" t="inlineStr">
        <is>
          <t>Đã thuộc</t>
        </is>
      </c>
    </row>
    <row r="32" ht="42" customHeight="1">
      <c r="A32" s="2" t="inlineStr">
        <is>
          <t>Environment &amp; Climate</t>
        </is>
      </c>
      <c r="B32" s="3" t="inlineStr">
        <is>
          <t>reusable</t>
        </is>
      </c>
      <c r="C32" s="4" t="inlineStr">
        <is>
          <t>adjective</t>
        </is>
      </c>
      <c r="D32" s="2" t="inlineStr">
        <is>
          <t>/ˌriːˈjuː.zə.bəl/</t>
        </is>
      </c>
      <c r="E32" s="5" t="inlineStr">
        <is>
          <t>Có thể tái sử dụng nhiều lần</t>
        </is>
      </c>
      <c r="F32" s="6" t="inlineStr">
        <is>
          <t>A2</t>
        </is>
      </c>
      <c r="G32" s="5" t="inlineStr">
        <is>
          <t>Shoppers should bring reusable cloth bags instead of single-use plastic.</t>
        </is>
      </c>
      <c r="H32" s="5" t="inlineStr">
        <is>
          <t>recyclable, sustainable, multi-use</t>
        </is>
      </c>
      <c r="I32" s="5" t="inlineStr">
        <is>
          <t>disposable, single-use, throwaway</t>
        </is>
      </c>
      <c r="J32" s="5" t="inlineStr">
        <is>
          <t>reusable bag, reusable water bottle, reusable container</t>
        </is>
      </c>
      <c r="K32" s="5" t="inlineStr">
        <is>
          <t>Re- + use + -able.</t>
        </is>
      </c>
      <c r="L32" s="6" t="inlineStr">
        <is>
          <t>Đã thuộc</t>
        </is>
      </c>
    </row>
    <row r="33" ht="42" customHeight="1">
      <c r="A33" s="7" t="inlineStr">
        <is>
          <t>Environment &amp; Climate</t>
        </is>
      </c>
      <c r="B33" s="8" t="inlineStr">
        <is>
          <t>landfill</t>
        </is>
      </c>
      <c r="C33" s="9" t="inlineStr">
        <is>
          <t>noun</t>
        </is>
      </c>
      <c r="D33" s="7" t="inlineStr">
        <is>
          <t>/ˈlænd.fɪl/</t>
        </is>
      </c>
      <c r="E33" s="10" t="inlineStr">
        <is>
          <t>Bãi chôn lấp rác thải tập trung</t>
        </is>
      </c>
      <c r="F33" s="11" t="inlineStr">
        <is>
          <t>B2</t>
        </is>
      </c>
      <c r="G33" s="10" t="inlineStr">
        <is>
          <t>Most household waste ends up buried in huge landfills outside the city.</t>
        </is>
      </c>
      <c r="H33" s="10" t="inlineStr">
        <is>
          <t>dump, garbage dump, rubbish tip</t>
        </is>
      </c>
      <c r="I33" s="10" t="inlineStr">
        <is>
          <t>recycling plant, compost facility</t>
        </is>
      </c>
      <c r="J33" s="10" t="inlineStr">
        <is>
          <t>landfill site, waste in landfill, reduce landfill waste</t>
        </is>
      </c>
      <c r="K33" s="10" t="inlineStr">
        <is>
          <t>Land (đất) + fill (lấp đầy).</t>
        </is>
      </c>
      <c r="L33" s="11" t="inlineStr">
        <is>
          <t>Đang học</t>
        </is>
      </c>
    </row>
    <row r="34" ht="42" customHeight="1">
      <c r="A34" s="2" t="inlineStr">
        <is>
          <t>Environment &amp; Climate</t>
        </is>
      </c>
      <c r="B34" s="3" t="inlineStr">
        <is>
          <t>conserve</t>
        </is>
      </c>
      <c r="C34" s="4" t="inlineStr">
        <is>
          <t>verb</t>
        </is>
      </c>
      <c r="D34" s="2" t="inlineStr">
        <is>
          <t>/kənˈsɜːv/</t>
        </is>
      </c>
      <c r="E34" s="5" t="inlineStr">
        <is>
          <t>Bảo tồn, tiết kiệm năng lượng và tài nguyên</t>
        </is>
      </c>
      <c r="F34" s="6" t="inlineStr">
        <is>
          <t>B1</t>
        </is>
      </c>
      <c r="G34" s="5" t="inlineStr">
        <is>
          <t>Turning off lights is an easy way to conserve electricity at home.</t>
        </is>
      </c>
      <c r="H34" s="5" t="inlineStr">
        <is>
          <t>save, protect, preserve</t>
        </is>
      </c>
      <c r="I34" s="5" t="inlineStr">
        <is>
          <t>waste, squander, deplete</t>
        </is>
      </c>
      <c r="J34" s="5" t="inlineStr">
        <is>
          <t>conserve energy, conserve water, conserve wildlife</t>
        </is>
      </c>
      <c r="K34" s="5" t="inlineStr">
        <is>
          <t>Danh từ: conservation. Nhà bảo tồn: conservationist.</t>
        </is>
      </c>
      <c r="L34" s="6" t="inlineStr">
        <is>
          <t>Đã thuộc</t>
        </is>
      </c>
    </row>
    <row r="35" ht="42" customHeight="1">
      <c r="A35" s="7" t="inlineStr">
        <is>
          <t>Environment &amp; Climate</t>
        </is>
      </c>
      <c r="B35" s="8" t="inlineStr">
        <is>
          <t>pollutant</t>
        </is>
      </c>
      <c r="C35" s="9" t="inlineStr">
        <is>
          <t>noun</t>
        </is>
      </c>
      <c r="D35" s="7" t="inlineStr">
        <is>
          <t>/pəˈluː.tənt/</t>
        </is>
      </c>
      <c r="E35" s="10" t="inlineStr">
        <is>
          <t>Chất gây ô nhiễm môi trường</t>
        </is>
      </c>
      <c r="F35" s="11" t="inlineStr">
        <is>
          <t>B1</t>
        </is>
      </c>
      <c r="G35" s="10" t="inlineStr">
        <is>
          <t>Vehicle exhaust fumes contain harmful air pollutants.</t>
        </is>
      </c>
      <c r="H35" s="10" t="inlineStr">
        <is>
          <t>contaminant, toxic agent</t>
        </is>
      </c>
      <c r="I35" s="10" t="inlineStr">
        <is>
          <t>purifier, clean substance</t>
        </is>
      </c>
      <c r="J35" s="10" t="inlineStr">
        <is>
          <t>air pollutant, toxic pollutant, release pollutants</t>
        </is>
      </c>
      <c r="K35" s="10" t="inlineStr">
        <is>
          <t>Phân biệt pollute, pollution, pollutant.</t>
        </is>
      </c>
      <c r="L35" s="11" t="inlineStr">
        <is>
          <t>Đang học</t>
        </is>
      </c>
    </row>
    <row r="36" ht="42" customHeight="1">
      <c r="A36" s="2" t="inlineStr">
        <is>
          <t>Environment &amp; Climate</t>
        </is>
      </c>
      <c r="B36" s="3" t="inlineStr">
        <is>
          <t>glacier</t>
        </is>
      </c>
      <c r="C36" s="4" t="inlineStr">
        <is>
          <t>noun</t>
        </is>
      </c>
      <c r="D36" s="2" t="inlineStr">
        <is>
          <t>/ˈɡlæs.i.ər/</t>
        </is>
      </c>
      <c r="E36" s="5" t="inlineStr">
        <is>
          <t>Sông băng trên các đỉnh núi cao</t>
        </is>
      </c>
      <c r="F36" s="6" t="inlineStr">
        <is>
          <t>B1</t>
        </is>
      </c>
      <c r="G36" s="5" t="inlineStr">
        <is>
          <t>Mountain glaciers are melting rapidly due to rising global temperatures.</t>
        </is>
      </c>
      <c r="H36" s="5" t="inlineStr">
        <is>
          <t>ice sheet, ice field</t>
        </is>
      </c>
      <c r="I36" s="5" t="inlineStr">
        <is>
          <t>N/A</t>
        </is>
      </c>
      <c r="J36" s="5" t="inlineStr">
        <is>
          <t>melting glacier, retreat of glaciers, polar glaciers</t>
        </is>
      </c>
      <c r="K36" s="5" t="inlineStr">
        <is>
          <t>Tiếng Anh-Mỹ: /ˈɡleɪ.ʃər/.</t>
        </is>
      </c>
      <c r="L36" s="6" t="inlineStr">
        <is>
          <t>Đang học</t>
        </is>
      </c>
    </row>
    <row r="37" ht="42" customHeight="1">
      <c r="A37" s="7" t="inlineStr">
        <is>
          <t>Environment &amp; Climate</t>
        </is>
      </c>
      <c r="B37" s="8" t="inlineStr">
        <is>
          <t>sustainable</t>
        </is>
      </c>
      <c r="C37" s="9" t="inlineStr">
        <is>
          <t>adjective</t>
        </is>
      </c>
      <c r="D37" s="7" t="inlineStr">
        <is>
          <t>/səˈsteɪ.nə.bəl/</t>
        </is>
      </c>
      <c r="E37" s="10" t="inlineStr">
        <is>
          <t>Bền vững, bảo vệ tài nguyên lâu dài</t>
        </is>
      </c>
      <c r="F37" s="11" t="inlineStr">
        <is>
          <t>B2</t>
        </is>
      </c>
      <c r="G37" s="10" t="inlineStr">
        <is>
          <t>Sustainable agriculture focuses on organic fertilizers and soil care.</t>
        </is>
      </c>
      <c r="H37" s="10" t="inlineStr">
        <is>
          <t>eco-friendly, renewable, viable</t>
        </is>
      </c>
      <c r="I37" s="10" t="inlineStr">
        <is>
          <t>unsustainable, destructive</t>
        </is>
      </c>
      <c r="J37" s="10" t="inlineStr">
        <is>
          <t>sustainable development, sustainable lifestyle, sustainable farming</t>
        </is>
      </c>
      <c r="K37" s="10" t="inlineStr">
        <is>
          <t>Danh từ: sustainability.</t>
        </is>
      </c>
      <c r="L37" s="11" t="inlineStr">
        <is>
          <t>Đã thuộc</t>
        </is>
      </c>
    </row>
    <row r="38" ht="42" customHeight="1">
      <c r="A38" s="2" t="inlineStr">
        <is>
          <t>Technology &amp; Media</t>
        </is>
      </c>
      <c r="B38" s="3" t="inlineStr">
        <is>
          <t>device</t>
        </is>
      </c>
      <c r="C38" s="4" t="inlineStr">
        <is>
          <t>noun</t>
        </is>
      </c>
      <c r="D38" s="2" t="inlineStr">
        <is>
          <t>/dɪˈvaɪs/</t>
        </is>
      </c>
      <c r="E38" s="5" t="inlineStr">
        <is>
          <t>Thiết bị điện tử nhỏ gọn</t>
        </is>
      </c>
      <c r="F38" s="6" t="inlineStr">
        <is>
          <t>A2</t>
        </is>
      </c>
      <c r="G38" s="5" t="inlineStr">
        <is>
          <t>Students use electronic devices such as tablets to study online.</t>
        </is>
      </c>
      <c r="H38" s="5" t="inlineStr">
        <is>
          <t>gadget, appliance, tool</t>
        </is>
      </c>
      <c r="I38" s="5" t="inlineStr">
        <is>
          <t>N/A</t>
        </is>
      </c>
      <c r="J38" s="5" t="inlineStr">
        <is>
          <t>digital device, electronic device, mobile device</t>
        </is>
      </c>
      <c r="K38" s="5" t="inlineStr">
        <is>
          <t>Device (đếm được), equipment (không đếm được).</t>
        </is>
      </c>
      <c r="L38" s="6" t="inlineStr">
        <is>
          <t>Đã thuộc</t>
        </is>
      </c>
    </row>
    <row r="39" ht="42" customHeight="1">
      <c r="A39" s="7" t="inlineStr">
        <is>
          <t>Technology &amp; Media</t>
        </is>
      </c>
      <c r="B39" s="8" t="inlineStr">
        <is>
          <t>interactive</t>
        </is>
      </c>
      <c r="C39" s="9" t="inlineStr">
        <is>
          <t>adjective</t>
        </is>
      </c>
      <c r="D39" s="7" t="inlineStr">
        <is>
          <t>/ˌɪn.təˈræk.tɪv/</t>
        </is>
      </c>
      <c r="E39" s="10" t="inlineStr">
        <is>
          <t>Có tính tương tác hai chiều</t>
        </is>
      </c>
      <c r="F39" s="11" t="inlineStr">
        <is>
          <t>B1</t>
        </is>
      </c>
      <c r="G39" s="10" t="inlineStr">
        <is>
          <t>Interactive whiteboards allow teachers to engage students with learning games.</t>
        </is>
      </c>
      <c r="H39" s="10" t="inlineStr">
        <is>
          <t>two-way, participatory, collaborative</t>
        </is>
      </c>
      <c r="I39" s="10" t="inlineStr">
        <is>
          <t>passive, one-way</t>
        </is>
      </c>
      <c r="J39" s="10" t="inlineStr">
        <is>
          <t>interactive software, interactive whiteboard, interactive display</t>
        </is>
      </c>
      <c r="K39" s="10" t="inlineStr">
        <is>
          <t>Động từ: interact with.</t>
        </is>
      </c>
      <c r="L39" s="11" t="inlineStr">
        <is>
          <t>Đã thuộc</t>
        </is>
      </c>
    </row>
    <row r="40" ht="42" customHeight="1">
      <c r="A40" s="2" t="inlineStr">
        <is>
          <t>Technology &amp; Media</t>
        </is>
      </c>
      <c r="B40" s="3" t="inlineStr">
        <is>
          <t>cybersecurity</t>
        </is>
      </c>
      <c r="C40" s="4" t="inlineStr">
        <is>
          <t>noun</t>
        </is>
      </c>
      <c r="D40" s="2" t="inlineStr">
        <is>
          <t>/ˈsaɪ.bə.sɪˌkjʊə.rə.ti/</t>
        </is>
      </c>
      <c r="E40" s="5" t="inlineStr">
        <is>
          <t>An ninh mạng bảo vệ dữ liệu số</t>
        </is>
      </c>
      <c r="F40" s="6" t="inlineStr">
        <is>
          <t>B2</t>
        </is>
      </c>
      <c r="G40" s="5" t="inlineStr">
        <is>
          <t>Banks invest millions annually in cybersecurity to protect accounts.</t>
        </is>
      </c>
      <c r="H40" s="5" t="inlineStr">
        <is>
          <t>digital security, information security</t>
        </is>
      </c>
      <c r="I40" s="5" t="inlineStr">
        <is>
          <t>cyber vulnerability, security breach</t>
        </is>
      </c>
      <c r="J40" s="5" t="inlineStr">
        <is>
          <t>cybersecurity breach, improve cybersecurity, cybersecurity threat</t>
        </is>
      </c>
      <c r="K40" s="5" t="inlineStr">
        <is>
          <t>Cyber- = thuộc không gian mạng.</t>
        </is>
      </c>
      <c r="L40" s="6" t="inlineStr">
        <is>
          <t>Đang học</t>
        </is>
      </c>
    </row>
    <row r="41" ht="42" customHeight="1">
      <c r="A41" s="7" t="inlineStr">
        <is>
          <t>Technology &amp; Media</t>
        </is>
      </c>
      <c r="B41" s="8" t="inlineStr">
        <is>
          <t>algorithm</t>
        </is>
      </c>
      <c r="C41" s="9" t="inlineStr">
        <is>
          <t>noun</t>
        </is>
      </c>
      <c r="D41" s="7" t="inlineStr">
        <is>
          <t>/ˈæl.ɡə.rɪ.ðəm/</t>
        </is>
      </c>
      <c r="E41" s="10" t="inlineStr">
        <is>
          <t>Thuật toán máy tính xử lý dữ liệu</t>
        </is>
      </c>
      <c r="F41" s="11" t="inlineStr">
        <is>
          <t>B2</t>
        </is>
      </c>
      <c r="G41" s="10" t="inlineStr">
        <is>
          <t>The search engine algorithm ranks web pages according to user relevance.</t>
        </is>
      </c>
      <c r="H41" s="10" t="inlineStr">
        <is>
          <t>computational rule, mathematical procedure</t>
        </is>
      </c>
      <c r="I41" s="10" t="inlineStr">
        <is>
          <t>N/A</t>
        </is>
      </c>
      <c r="J41" s="10" t="inlineStr">
        <is>
          <t>search algorithm, complex algorithm, social media algorithm</t>
        </is>
      </c>
      <c r="K41" s="10" t="inlineStr">
        <is>
          <t>Trọng âm 1: AL-go-rithm.</t>
        </is>
      </c>
      <c r="L41" s="11" t="inlineStr">
        <is>
          <t>Đang học</t>
        </is>
      </c>
    </row>
    <row r="42" ht="42" customHeight="1">
      <c r="A42" s="2" t="inlineStr">
        <is>
          <t>Technology &amp; Media</t>
        </is>
      </c>
      <c r="B42" s="3" t="inlineStr">
        <is>
          <t>artificial intelligence</t>
        </is>
      </c>
      <c r="C42" s="4" t="inlineStr">
        <is>
          <t>noun phrase</t>
        </is>
      </c>
      <c r="D42" s="2" t="inlineStr">
        <is>
          <t>/ˌɑː.tɪˈfɪʃ.əl ɪnˈtel.ɪ.dʒəns/</t>
        </is>
      </c>
      <c r="E42" s="5" t="inlineStr">
        <is>
          <t>Trí tuệ nhân tạo (AI)</t>
        </is>
      </c>
      <c r="F42" s="6" t="inlineStr">
        <is>
          <t>B1</t>
        </is>
      </c>
      <c r="G42" s="5" t="inlineStr">
        <is>
          <t>Artificial intelligence is revolutionizing medical diagnostics and translations.</t>
        </is>
      </c>
      <c r="H42" s="5" t="inlineStr">
        <is>
          <t>AI, machine intelligence, smart tech</t>
        </is>
      </c>
      <c r="I42" s="5" t="inlineStr">
        <is>
          <t>human intelligence</t>
        </is>
      </c>
      <c r="J42" s="5" t="inlineStr">
        <is>
          <t>apply artificial intelligence, develop AI, AI chatbot</t>
        </is>
      </c>
      <c r="K42" s="5" t="inlineStr">
        <is>
          <t>Viết tắt: AI /ˌeɪˈaɪ/.</t>
        </is>
      </c>
      <c r="L42" s="6" t="inlineStr">
        <is>
          <t>Đã thuộc</t>
        </is>
      </c>
    </row>
    <row r="43" ht="42" customHeight="1">
      <c r="A43" s="7" t="inlineStr">
        <is>
          <t>Technology &amp; Media</t>
        </is>
      </c>
      <c r="B43" s="8" t="inlineStr">
        <is>
          <t>misinformation</t>
        </is>
      </c>
      <c r="C43" s="9" t="inlineStr">
        <is>
          <t>noun</t>
        </is>
      </c>
      <c r="D43" s="7" t="inlineStr">
        <is>
          <t>/ˌmɪs.ɪn.fəˈmeɪ.ʃən/</t>
        </is>
      </c>
      <c r="E43" s="10" t="inlineStr">
        <is>
          <t>Thông tin sai lệch trên mạng</t>
        </is>
      </c>
      <c r="F43" s="11" t="inlineStr">
        <is>
          <t>B2</t>
        </is>
      </c>
      <c r="G43" s="10" t="inlineStr">
        <is>
          <t>Social media users should verify sources to avoid sharing misinformation.</t>
        </is>
      </c>
      <c r="H43" s="10" t="inlineStr">
        <is>
          <t>fake news, false information</t>
        </is>
      </c>
      <c r="I43" s="10" t="inlineStr">
        <is>
          <t>verified fact, accurate info</t>
        </is>
      </c>
      <c r="J43" s="10" t="inlineStr">
        <is>
          <t>spread misinformation, combat misinformation, rampant misinformation</t>
        </is>
      </c>
      <c r="K43" s="10" t="inlineStr">
        <is>
          <t>Phân biệt với disinformation (tin giả cố ý).</t>
        </is>
      </c>
      <c r="L43" s="11" t="inlineStr">
        <is>
          <t>Đang học</t>
        </is>
      </c>
    </row>
    <row r="44" ht="42" customHeight="1">
      <c r="A44" s="2" t="inlineStr">
        <is>
          <t>Technology &amp; Media</t>
        </is>
      </c>
      <c r="B44" s="3" t="inlineStr">
        <is>
          <t>broadband</t>
        </is>
      </c>
      <c r="C44" s="4" t="inlineStr">
        <is>
          <t>noun/adjective</t>
        </is>
      </c>
      <c r="D44" s="2" t="inlineStr">
        <is>
          <t>/ˈbrɔːd.bænd/</t>
        </is>
      </c>
      <c r="E44" s="5" t="inlineStr">
        <is>
          <t>Mạng Internet băng thông rộng</t>
        </is>
      </c>
      <c r="F44" s="6" t="inlineStr">
        <is>
          <t>B1</t>
        </is>
      </c>
      <c r="G44" s="5" t="inlineStr">
        <is>
          <t>Fast broadband connection is crucial for students who attend remote classes.</t>
        </is>
      </c>
      <c r="H44" s="5" t="inlineStr">
        <is>
          <t>high-speed internet, fast connection</t>
        </is>
      </c>
      <c r="I44" s="5" t="inlineStr">
        <is>
          <t>dial-up connection</t>
        </is>
      </c>
      <c r="J44" s="5" t="inlineStr">
        <is>
          <t>broadband access, high-speed broadband, broadband network</t>
        </is>
      </c>
      <c r="K44" s="5" t="inlineStr">
        <is>
          <t>Broad (rộng) + band (băng tần).</t>
        </is>
      </c>
      <c r="L44" s="6" t="inlineStr">
        <is>
          <t>Đã thuộc</t>
        </is>
      </c>
    </row>
    <row r="45" ht="42" customHeight="1">
      <c r="A45" s="7" t="inlineStr">
        <is>
          <t>Technology &amp; Media</t>
        </is>
      </c>
      <c r="B45" s="8" t="inlineStr">
        <is>
          <t>automation</t>
        </is>
      </c>
      <c r="C45" s="9" t="inlineStr">
        <is>
          <t>noun</t>
        </is>
      </c>
      <c r="D45" s="7" t="inlineStr">
        <is>
          <t>/ˌɔː.təˈmeɪ.ʃən/</t>
        </is>
      </c>
      <c r="E45" s="10" t="inlineStr">
        <is>
          <t>Sự tự động hóa trong sản xuất bằng máy</t>
        </is>
      </c>
      <c r="F45" s="11" t="inlineStr">
        <is>
          <t>B2</t>
        </is>
      </c>
      <c r="G45" s="10" t="inlineStr">
        <is>
          <t>Factory automation increases manufacturing speed while lowering costs.</t>
        </is>
      </c>
      <c r="H45" s="10" t="inlineStr">
        <is>
          <t>mechanization, computerization, robotics</t>
        </is>
      </c>
      <c r="I45" s="10" t="inlineStr">
        <is>
          <t>manual labor, handcraft</t>
        </is>
      </c>
      <c r="J45" s="10" t="inlineStr">
        <is>
          <t>workplace automation, factory automation, process automation</t>
        </is>
      </c>
      <c r="K45" s="10" t="inlineStr">
        <is>
          <t>Động từ: automate.</t>
        </is>
      </c>
      <c r="L45" s="11" t="inlineStr">
        <is>
          <t>Đang học</t>
        </is>
      </c>
    </row>
    <row r="46" ht="42" customHeight="1">
      <c r="A46" s="2" t="inlineStr">
        <is>
          <t>Technology &amp; Media</t>
        </is>
      </c>
      <c r="B46" s="3" t="inlineStr">
        <is>
          <t>virtual</t>
        </is>
      </c>
      <c r="C46" s="4" t="inlineStr">
        <is>
          <t>adjective</t>
        </is>
      </c>
      <c r="D46" s="2" t="inlineStr">
        <is>
          <t>/ˈvɜː.tʃu.əl/</t>
        </is>
      </c>
      <c r="E46" s="5" t="inlineStr">
        <is>
          <t>Ảo, mô phỏng qua không gian mạng</t>
        </is>
      </c>
      <c r="F46" s="6" t="inlineStr">
        <is>
          <t>B1</t>
        </is>
      </c>
      <c r="G46" s="5" t="inlineStr">
        <is>
          <t>Many museums now offer free virtual tours for students.</t>
        </is>
      </c>
      <c r="H46" s="5" t="inlineStr">
        <is>
          <t>digital, simulated, online, cyber</t>
        </is>
      </c>
      <c r="I46" s="5" t="inlineStr">
        <is>
          <t>physical, real-world, in-person</t>
        </is>
      </c>
      <c r="J46" s="5" t="inlineStr">
        <is>
          <t>virtual reality, virtual tour, virtual classroom</t>
        </is>
      </c>
      <c r="K46" s="5" t="inlineStr">
        <is>
          <t>Trạng từ: virtually.</t>
        </is>
      </c>
      <c r="L46" s="6" t="inlineStr">
        <is>
          <t>Đã thuộc</t>
        </is>
      </c>
    </row>
    <row r="47" ht="42" customHeight="1">
      <c r="A47" s="7" t="inlineStr">
        <is>
          <t>Technology &amp; Media</t>
        </is>
      </c>
      <c r="B47" s="8" t="inlineStr">
        <is>
          <t>privacy</t>
        </is>
      </c>
      <c r="C47" s="9" t="inlineStr">
        <is>
          <t>noun</t>
        </is>
      </c>
      <c r="D47" s="7" t="inlineStr">
        <is>
          <t>/ˈprɪv.ə.si/</t>
        </is>
      </c>
      <c r="E47" s="10" t="inlineStr">
        <is>
          <t>Quyền riêng tư cá nhân và dữ liệu</t>
        </is>
      </c>
      <c r="F47" s="11" t="inlineStr">
        <is>
          <t>B1</t>
        </is>
      </c>
      <c r="G47" s="10" t="inlineStr">
        <is>
          <t>Social media users are increasingly worried about data privacy.</t>
        </is>
      </c>
      <c r="H47" s="10" t="inlineStr">
        <is>
          <t>confidentiality, personal space</t>
        </is>
      </c>
      <c r="I47" s="10" t="inlineStr">
        <is>
          <t>publicity, surveillance</t>
        </is>
      </c>
      <c r="J47" s="10" t="inlineStr">
        <is>
          <t>protect privacy, privacy settings, invade privacy, data privacy</t>
        </is>
      </c>
      <c r="K47" s="10" t="inlineStr">
        <is>
          <t>Tính từ: private.</t>
        </is>
      </c>
      <c r="L47" s="11" t="inlineStr">
        <is>
          <t>Đã thuộc</t>
        </is>
      </c>
    </row>
    <row r="48" ht="42" customHeight="1">
      <c r="A48" s="2" t="inlineStr">
        <is>
          <t>Technology &amp; Media</t>
        </is>
      </c>
      <c r="B48" s="3" t="inlineStr">
        <is>
          <t>stream</t>
        </is>
      </c>
      <c r="C48" s="4" t="inlineStr">
        <is>
          <t>verb/noun</t>
        </is>
      </c>
      <c r="D48" s="2" t="inlineStr">
        <is>
          <t>/striːm/</t>
        </is>
      </c>
      <c r="E48" s="5" t="inlineStr">
        <is>
          <t>Phát trực tuyến video/nhạc qua mạng</t>
        </is>
      </c>
      <c r="F48" s="6" t="inlineStr">
        <is>
          <t>B1</t>
        </is>
      </c>
      <c r="G48" s="5" t="inlineStr">
        <is>
          <t>Millions of people stream movies directly on their phones daily.</t>
        </is>
      </c>
      <c r="H48" s="5" t="inlineStr">
        <is>
          <t>broadcast online, transmit, webcast</t>
        </is>
      </c>
      <c r="I48" s="5" t="inlineStr">
        <is>
          <t>download offline</t>
        </is>
      </c>
      <c r="J48" s="5" t="inlineStr">
        <is>
          <t>stream music, live stream, stream movies, streaming service</t>
        </is>
      </c>
      <c r="K48" s="5" t="inlineStr">
        <is>
          <t>Streaming service = dịch vụ phát trực tuyến.</t>
        </is>
      </c>
      <c r="L48" s="6" t="inlineStr">
        <is>
          <t>Đã thuộc</t>
        </is>
      </c>
    </row>
    <row r="49" ht="42" customHeight="1">
      <c r="A49" s="7" t="inlineStr">
        <is>
          <t>Technology &amp; Media</t>
        </is>
      </c>
      <c r="B49" s="8" t="inlineStr">
        <is>
          <t>censor</t>
        </is>
      </c>
      <c r="C49" s="9" t="inlineStr">
        <is>
          <t>verb/noun</t>
        </is>
      </c>
      <c r="D49" s="7" t="inlineStr">
        <is>
          <t>/ˈsen.sər/</t>
        </is>
      </c>
      <c r="E49" s="10" t="inlineStr">
        <is>
          <t>Kiểm duyệt nội dung nhạy cảm / Người kiểm duyệt</t>
        </is>
      </c>
      <c r="F49" s="11" t="inlineStr">
        <is>
          <t>B2</t>
        </is>
      </c>
      <c r="G49" s="10" t="inlineStr">
        <is>
          <t>Certain violent scenes were censored before the movie was released.</t>
        </is>
      </c>
      <c r="H49" s="10" t="inlineStr">
        <is>
          <t>edit out, cut, suppress, filter</t>
        </is>
      </c>
      <c r="I49" s="10" t="inlineStr">
        <is>
          <t>publish openly, uncensor</t>
        </is>
      </c>
      <c r="J49" s="10" t="inlineStr">
        <is>
          <t>censor content, heavily censored, state censors</t>
        </is>
      </c>
      <c r="K49" s="10" t="inlineStr">
        <is>
          <t>Danh từ: censorship.</t>
        </is>
      </c>
      <c r="L49" s="11" t="inlineStr">
        <is>
          <t>Cần ôn lại</t>
        </is>
      </c>
    </row>
    <row r="50" ht="42" customHeight="1">
      <c r="A50" s="2" t="inlineStr">
        <is>
          <t>Technology &amp; Media</t>
        </is>
      </c>
      <c r="B50" s="3" t="inlineStr">
        <is>
          <t>wireless</t>
        </is>
      </c>
      <c r="C50" s="4" t="inlineStr">
        <is>
          <t>adjective</t>
        </is>
      </c>
      <c r="D50" s="2" t="inlineStr">
        <is>
          <t>/ˈwaɪə.ləs/</t>
        </is>
      </c>
      <c r="E50" s="5" t="inlineStr">
        <is>
          <t>Không dây (Wi-Fi, Bluetooth)</t>
        </is>
      </c>
      <c r="F50" s="6" t="inlineStr">
        <is>
          <t>A2</t>
        </is>
      </c>
      <c r="G50" s="5" t="inlineStr">
        <is>
          <t>Wireless earbuds have made listening to music much more convenient.</t>
        </is>
      </c>
      <c r="H50" s="5" t="inlineStr">
        <is>
          <t>cordless, Wi-Fi enabled, Bluetooth</t>
        </is>
      </c>
      <c r="I50" s="5" t="inlineStr">
        <is>
          <t>wired, corded, cable</t>
        </is>
      </c>
      <c r="J50" s="5" t="inlineStr">
        <is>
          <t>wireless network, wireless charger, wireless connection</t>
        </is>
      </c>
      <c r="K50" s="5" t="inlineStr">
        <is>
          <t>Wire + -less.</t>
        </is>
      </c>
      <c r="L50" s="6" t="inlineStr">
        <is>
          <t>Đã thuộc</t>
        </is>
      </c>
    </row>
    <row r="51" ht="42" customHeight="1">
      <c r="A51" s="7" t="inlineStr">
        <is>
          <t>Technology &amp; Media</t>
        </is>
      </c>
      <c r="B51" s="8" t="inlineStr">
        <is>
          <t>obsolete</t>
        </is>
      </c>
      <c r="C51" s="9" t="inlineStr">
        <is>
          <t>adjective</t>
        </is>
      </c>
      <c r="D51" s="7" t="inlineStr">
        <is>
          <t>/ˌɒb.səˈliːt/</t>
        </is>
      </c>
      <c r="E51" s="10" t="inlineStr">
        <is>
          <t>Lỗi thời, không còn được sử dụng nữa</t>
        </is>
      </c>
      <c r="F51" s="11" t="inlineStr">
        <is>
          <t>B2</t>
        </is>
      </c>
      <c r="G51" s="10" t="inlineStr">
        <is>
          <t>Smartphones have rendered cassette tapes completely obsolete.</t>
        </is>
      </c>
      <c r="H51" s="10" t="inlineStr">
        <is>
          <t>outdated, outmoded, archaic</t>
        </is>
      </c>
      <c r="I51" s="10" t="inlineStr">
        <is>
          <t>modern, state-of-the-art, current</t>
        </is>
      </c>
      <c r="J51" s="10" t="inlineStr">
        <is>
          <t>render something obsolete, become obsolete, obsolete technology</t>
        </is>
      </c>
      <c r="K51" s="10" t="inlineStr">
        <is>
          <t>Cụm 'render sth obsolete' rất hay gặp.</t>
        </is>
      </c>
      <c r="L51" s="11" t="inlineStr">
        <is>
          <t>Đang học</t>
        </is>
      </c>
    </row>
    <row r="52" ht="42" customHeight="1">
      <c r="A52" s="2" t="inlineStr">
        <is>
          <t>Technology &amp; Media</t>
        </is>
      </c>
      <c r="B52" s="3" t="inlineStr">
        <is>
          <t>subscribe</t>
        </is>
      </c>
      <c r="C52" s="4" t="inlineStr">
        <is>
          <t>verb</t>
        </is>
      </c>
      <c r="D52" s="2" t="inlineStr">
        <is>
          <t>/səbˈskraɪb/</t>
        </is>
      </c>
      <c r="E52" s="5" t="inlineStr">
        <is>
          <t>Đăng ký theo dõi kênh/dịch vụ định kỳ</t>
        </is>
      </c>
      <c r="F52" s="6" t="inlineStr">
        <is>
          <t>B1</t>
        </is>
      </c>
      <c r="G52" s="5" t="inlineStr">
        <is>
          <t>Many people subscribe to educational channels to learn English.</t>
        </is>
      </c>
      <c r="H52" s="5" t="inlineStr">
        <is>
          <t>sign up, follow, enroll, register</t>
        </is>
      </c>
      <c r="I52" s="5" t="inlineStr">
        <is>
          <t>unsubscribe, cancel subscription</t>
        </is>
      </c>
      <c r="J52" s="5" t="inlineStr">
        <is>
          <t>subscribe to a channel, subscribe to a magazine, monthly subscription</t>
        </is>
      </c>
      <c r="K52" s="5" t="inlineStr">
        <is>
          <t>Đi kèm giới từ 'to'. Danh từ: subscription.</t>
        </is>
      </c>
      <c r="L52" s="6" t="inlineStr">
        <is>
          <t>Đã thuộc</t>
        </is>
      </c>
    </row>
    <row r="53" ht="42" customHeight="1">
      <c r="A53" s="7" t="inlineStr">
        <is>
          <t>Technology &amp; Media</t>
        </is>
      </c>
      <c r="B53" s="8" t="inlineStr">
        <is>
          <t>viral</t>
        </is>
      </c>
      <c r="C53" s="9" t="inlineStr">
        <is>
          <t>adjective</t>
        </is>
      </c>
      <c r="D53" s="7" t="inlineStr">
        <is>
          <t>/ˈvaɪə.rəl/</t>
        </is>
      </c>
      <c r="E53" s="10" t="inlineStr">
        <is>
          <t>Lan truyền cực nhanh trên mạng xã hội</t>
        </is>
      </c>
      <c r="F53" s="11" t="inlineStr">
        <is>
          <t>B1</t>
        </is>
      </c>
      <c r="G53" s="10" t="inlineStr">
        <is>
          <t>The funny animal video went viral on TikTok, reaching millions of views.</t>
        </is>
      </c>
      <c r="H53" s="10" t="inlineStr">
        <is>
          <t>widely circulated, trending, highly popular</t>
        </is>
      </c>
      <c r="I53" s="10" t="inlineStr">
        <is>
          <t>unnoticed, obscure</t>
        </is>
      </c>
      <c r="J53" s="10" t="inlineStr">
        <is>
          <t>go viral, viral video, viral campaign, viral marketing</t>
        </is>
      </c>
      <c r="K53" s="10" t="inlineStr">
        <is>
          <t>Thành ngữ: go viral.</t>
        </is>
      </c>
      <c r="L53" s="11" t="inlineStr">
        <is>
          <t>Đã thuộc</t>
        </is>
      </c>
    </row>
    <row r="54" ht="42" customHeight="1">
      <c r="A54" s="2" t="inlineStr">
        <is>
          <t>Technology &amp; Media</t>
        </is>
      </c>
      <c r="B54" s="3" t="inlineStr">
        <is>
          <t>database</t>
        </is>
      </c>
      <c r="C54" s="4" t="inlineStr">
        <is>
          <t>noun</t>
        </is>
      </c>
      <c r="D54" s="2" t="inlineStr">
        <is>
          <t>/ˈdeɪ.tə.beɪs/</t>
        </is>
      </c>
      <c r="E54" s="5" t="inlineStr">
        <is>
          <t>Cơ sở dữ liệu lưu trữ trên máy tính</t>
        </is>
      </c>
      <c r="F54" s="6" t="inlineStr">
        <is>
          <t>B1</t>
        </is>
      </c>
      <c r="G54" s="5" t="inlineStr">
        <is>
          <t>The library maintains an online database of academic research papers.</t>
        </is>
      </c>
      <c r="H54" s="5" t="inlineStr">
        <is>
          <t>data bank, repository, digital archive</t>
        </is>
      </c>
      <c r="I54" s="5" t="inlineStr">
        <is>
          <t>N/A</t>
        </is>
      </c>
      <c r="J54" s="5" t="inlineStr">
        <is>
          <t>search the database, database management, update database</t>
        </is>
      </c>
      <c r="K54" s="5" t="inlineStr">
        <is>
          <t>Data + base.</t>
        </is>
      </c>
      <c r="L54" s="6" t="inlineStr">
        <is>
          <t>Đã thuộc</t>
        </is>
      </c>
    </row>
    <row r="55" ht="42" customHeight="1">
      <c r="A55" s="7" t="inlineStr">
        <is>
          <t>Technology &amp; Media</t>
        </is>
      </c>
      <c r="B55" s="8" t="inlineStr">
        <is>
          <t>broadcasting</t>
        </is>
      </c>
      <c r="C55" s="9" t="inlineStr">
        <is>
          <t>noun</t>
        </is>
      </c>
      <c r="D55" s="7" t="inlineStr">
        <is>
          <t>/ˈbrɔːdˌkɑː.stɪŋ/</t>
        </is>
      </c>
      <c r="E55" s="10" t="inlineStr">
        <is>
          <t>Ngành phát thanh truyền hình</t>
        </is>
      </c>
      <c r="F55" s="11" t="inlineStr">
        <is>
          <t>B2</t>
        </is>
      </c>
      <c r="G55" s="10" t="inlineStr">
        <is>
          <t>Television broadcasting has shifted toward on-demand internet platforms.</t>
        </is>
      </c>
      <c r="H55" s="10" t="inlineStr">
        <is>
          <t>telecasting, radio transmission, media airing</t>
        </is>
      </c>
      <c r="I55" s="10" t="inlineStr">
        <is>
          <t>print media</t>
        </is>
      </c>
      <c r="J55" s="10" t="inlineStr">
        <is>
          <t>broadcasting station, live broadcasting, public broadcasting</t>
        </is>
      </c>
      <c r="K55" s="10" t="inlineStr">
        <is>
          <t>Động từ: broadcast.</t>
        </is>
      </c>
      <c r="L55" s="11" t="inlineStr">
        <is>
          <t>Đang học</t>
        </is>
      </c>
    </row>
    <row r="56" ht="42" customHeight="1">
      <c r="A56" s="2" t="inlineStr">
        <is>
          <t>Work &amp; Business</t>
        </is>
      </c>
      <c r="B56" s="3" t="inlineStr">
        <is>
          <t>applicant</t>
        </is>
      </c>
      <c r="C56" s="4" t="inlineStr">
        <is>
          <t>noun</t>
        </is>
      </c>
      <c r="D56" s="2" t="inlineStr">
        <is>
          <t>/ˈæp.lɪ.kənt/</t>
        </is>
      </c>
      <c r="E56" s="5" t="inlineStr">
        <is>
          <t>Người nộp đơn ứng tuyển xin việc</t>
        </is>
      </c>
      <c r="F56" s="6" t="inlineStr">
        <is>
          <t>B1</t>
        </is>
      </c>
      <c r="G56" s="5" t="inlineStr">
        <is>
          <t>Over one hundred applicants submitted their resumes for the position.</t>
        </is>
      </c>
      <c r="H56" s="5" t="inlineStr">
        <is>
          <t>candidate, job seeker, claimant</t>
        </is>
      </c>
      <c r="I56" s="5" t="inlineStr">
        <is>
          <t>employer, recruiter</t>
        </is>
      </c>
      <c r="J56" s="5" t="inlineStr">
        <is>
          <t>job applicant, successful applicant, qualified applicant</t>
        </is>
      </c>
      <c r="K56" s="5" t="inlineStr">
        <is>
          <t>Động từ: apply. Danh từ: application.</t>
        </is>
      </c>
      <c r="L56" s="6" t="inlineStr">
        <is>
          <t>Đã thuộc</t>
        </is>
      </c>
    </row>
    <row r="57" ht="42" customHeight="1">
      <c r="A57" s="7" t="inlineStr">
        <is>
          <t>Work &amp; Business</t>
        </is>
      </c>
      <c r="B57" s="8" t="inlineStr">
        <is>
          <t>colleague</t>
        </is>
      </c>
      <c r="C57" s="9" t="inlineStr">
        <is>
          <t>noun</t>
        </is>
      </c>
      <c r="D57" s="7" t="inlineStr">
        <is>
          <t>/ˈkɒl.iːɡ/</t>
        </is>
      </c>
      <c r="E57" s="10" t="inlineStr">
        <is>
          <t>Đồng nghiệp cùng cơ quan</t>
        </is>
      </c>
      <c r="F57" s="11" t="inlineStr">
        <is>
          <t>A2</t>
        </is>
      </c>
      <c r="G57" s="10" t="inlineStr">
        <is>
          <t>Maintaining friendly relationships with colleagues creates a pleasant office.</t>
        </is>
      </c>
      <c r="H57" s="10" t="inlineStr">
        <is>
          <t>coworker, workmate, associate</t>
        </is>
      </c>
      <c r="I57" s="10" t="inlineStr">
        <is>
          <t>competitor, rival</t>
        </is>
      </c>
      <c r="J57" s="10" t="inlineStr">
        <is>
          <t>close colleague, former colleague, work colleague</t>
        </is>
      </c>
      <c r="K57" s="10" t="inlineStr">
        <is>
          <t>Phát âm đuôi /ɡ/, chữ 'ue' câm.</t>
        </is>
      </c>
      <c r="L57" s="11" t="inlineStr">
        <is>
          <t>Đã thuộc</t>
        </is>
      </c>
    </row>
    <row r="58" ht="42" customHeight="1">
      <c r="A58" s="2" t="inlineStr">
        <is>
          <t>Work &amp; Business</t>
        </is>
      </c>
      <c r="B58" s="3" t="inlineStr">
        <is>
          <t>promotion</t>
        </is>
      </c>
      <c r="C58" s="4" t="inlineStr">
        <is>
          <t>noun</t>
        </is>
      </c>
      <c r="D58" s="2" t="inlineStr">
        <is>
          <t>/prəˈməʊ.ʃən/</t>
        </is>
      </c>
      <c r="E58" s="5" t="inlineStr">
        <is>
          <t>Sự thăng chức trong công việc</t>
        </is>
      </c>
      <c r="F58" s="6" t="inlineStr">
        <is>
          <t>B1</t>
        </is>
      </c>
      <c r="G58" s="5" t="inlineStr">
        <is>
          <t>Hard work and leadership earned him a well-deserved promotion to manager.</t>
        </is>
      </c>
      <c r="H58" s="5" t="inlineStr">
        <is>
          <t>advancement, upgrade, elevation</t>
        </is>
      </c>
      <c r="I58" s="5" t="inlineStr">
        <is>
          <t>demotion, dismissal</t>
        </is>
      </c>
      <c r="J58" s="5" t="inlineStr">
        <is>
          <t>get a promotion, career promotion, promotion opportunities</t>
        </is>
      </c>
      <c r="K58" s="5" t="inlineStr">
        <is>
          <t>Trái nghĩa: demotion (giáng chức).</t>
        </is>
      </c>
      <c r="L58" s="6" t="inlineStr">
        <is>
          <t>Đã thuộc</t>
        </is>
      </c>
    </row>
    <row r="59" ht="42" customHeight="1">
      <c r="A59" s="7" t="inlineStr">
        <is>
          <t>Work &amp; Business</t>
        </is>
      </c>
      <c r="B59" s="8" t="inlineStr">
        <is>
          <t>workload</t>
        </is>
      </c>
      <c r="C59" s="9" t="inlineStr">
        <is>
          <t>noun</t>
        </is>
      </c>
      <c r="D59" s="7" t="inlineStr">
        <is>
          <t>/ˈwɜːk.ləʊd/</t>
        </is>
      </c>
      <c r="E59" s="10" t="inlineStr">
        <is>
          <t>Khối lượng công việc cần hoàn thành</t>
        </is>
      </c>
      <c r="F59" s="11" t="inlineStr">
        <is>
          <t>B1</t>
        </is>
      </c>
      <c r="G59" s="10" t="inlineStr">
        <is>
          <t>Employees feel stressed when dealing with an excessive workload near deadlines.</t>
        </is>
      </c>
      <c r="H59" s="10" t="inlineStr">
        <is>
          <t>amount of work, task volume, duties</t>
        </is>
      </c>
      <c r="I59" s="10" t="inlineStr">
        <is>
          <t>free time, light duty</t>
        </is>
      </c>
      <c r="J59" s="10" t="inlineStr">
        <is>
          <t>heavy workload, manage workload, reduce workload</t>
        </is>
      </c>
      <c r="K59" s="10" t="inlineStr">
        <is>
          <t>Work + load.</t>
        </is>
      </c>
      <c r="L59" s="11" t="inlineStr">
        <is>
          <t>Đã thuộc</t>
        </is>
      </c>
    </row>
    <row r="60" ht="42" customHeight="1">
      <c r="A60" s="2" t="inlineStr">
        <is>
          <t>Work &amp; Business</t>
        </is>
      </c>
      <c r="B60" s="3" t="inlineStr">
        <is>
          <t>entrepreneur</t>
        </is>
      </c>
      <c r="C60" s="4" t="inlineStr">
        <is>
          <t>noun</t>
        </is>
      </c>
      <c r="D60" s="2" t="inlineStr">
        <is>
          <t>/ˌɒn.trə.prəˈnɜːr/</t>
        </is>
      </c>
      <c r="E60" s="5" t="inlineStr">
        <is>
          <t>Doanh nhân khởi nghiệp kinh doanh</t>
        </is>
      </c>
      <c r="F60" s="6" t="inlineStr">
        <is>
          <t>B2</t>
        </is>
      </c>
      <c r="G60" s="5" t="inlineStr">
        <is>
          <t>Young tech entrepreneurs in Vietnam are creating innovative apps.</t>
        </is>
      </c>
      <c r="H60" s="5" t="inlineStr">
        <is>
          <t>business founder, business person, enterprise builder</t>
        </is>
      </c>
      <c r="I60" s="5" t="inlineStr">
        <is>
          <t>employee, salaried worker</t>
        </is>
      </c>
      <c r="J60" s="5" t="inlineStr">
        <is>
          <t>successful entrepreneur, young entrepreneur, social entrepreneur</t>
        </is>
      </c>
      <c r="K60" s="5" t="inlineStr">
        <is>
          <t>Trọng âm cuối. Danh từ: entrepreneurship.</t>
        </is>
      </c>
      <c r="L60" s="6" t="inlineStr">
        <is>
          <t>Đang học</t>
        </is>
      </c>
    </row>
    <row r="61" ht="42" customHeight="1">
      <c r="A61" s="7" t="inlineStr">
        <is>
          <t>Work &amp; Business</t>
        </is>
      </c>
      <c r="B61" s="8" t="inlineStr">
        <is>
          <t>redundancy</t>
        </is>
      </c>
      <c r="C61" s="9" t="inlineStr">
        <is>
          <t>noun</t>
        </is>
      </c>
      <c r="D61" s="7" t="inlineStr">
        <is>
          <t>/rɪˈdʌn.dən.si/</t>
        </is>
      </c>
      <c r="E61" s="10" t="inlineStr">
        <is>
          <t>Sự sa thải do cắt giảm biên chế</t>
        </is>
      </c>
      <c r="F61" s="11" t="inlineStr">
        <is>
          <t>B2</t>
        </is>
      </c>
      <c r="G61" s="10" t="inlineStr">
        <is>
          <t>Economic downturn forced the airline to announce hundreds of redundancies.</t>
        </is>
      </c>
      <c r="H61" s="10" t="inlineStr">
        <is>
          <t>layoff, dismissal, downsizing</t>
        </is>
      </c>
      <c r="I61" s="10" t="inlineStr">
        <is>
          <t>recruitment, hiring</t>
        </is>
      </c>
      <c r="J61" s="10" t="inlineStr">
        <is>
          <t>face redundancy, voluntary redundancy, redundancy package</t>
        </is>
      </c>
      <c r="K61" s="10" t="inlineStr">
        <is>
          <t>Tính từ: redundant.</t>
        </is>
      </c>
      <c r="L61" s="11" t="inlineStr">
        <is>
          <t>Đang học</t>
        </is>
      </c>
    </row>
    <row r="62" ht="42" customHeight="1">
      <c r="A62" s="2" t="inlineStr">
        <is>
          <t>Work &amp; Business</t>
        </is>
      </c>
      <c r="B62" s="3" t="inlineStr">
        <is>
          <t>probation</t>
        </is>
      </c>
      <c r="C62" s="4" t="inlineStr">
        <is>
          <t>noun</t>
        </is>
      </c>
      <c r="D62" s="2" t="inlineStr">
        <is>
          <t>/prəˈbeɪ.ʃən/</t>
        </is>
      </c>
      <c r="E62" s="5" t="inlineStr">
        <is>
          <t>Thời gian thử việc trước khi ký hợp đồng</t>
        </is>
      </c>
      <c r="F62" s="6" t="inlineStr">
        <is>
          <t>B2</t>
        </is>
      </c>
      <c r="G62" s="5" t="inlineStr">
        <is>
          <t>New hires complete a two-month probation period before receiving full benefits.</t>
        </is>
      </c>
      <c r="H62" s="5" t="inlineStr">
        <is>
          <t>trial period, test phase, evaluation</t>
        </is>
      </c>
      <c r="I62" s="5" t="inlineStr">
        <is>
          <t>tenure, permanent employment</t>
        </is>
      </c>
      <c r="J62" s="5" t="inlineStr">
        <is>
          <t>on probation, probation period, pass probation</t>
        </is>
      </c>
      <c r="K62" s="5" t="inlineStr">
        <is>
          <t>Tính từ: probationary.</t>
        </is>
      </c>
      <c r="L62" s="6" t="inlineStr">
        <is>
          <t>Đang học</t>
        </is>
      </c>
    </row>
    <row r="63" ht="42" customHeight="1">
      <c r="A63" s="7" t="inlineStr">
        <is>
          <t>Work &amp; Business</t>
        </is>
      </c>
      <c r="B63" s="8" t="inlineStr">
        <is>
          <t>telecommuting</t>
        </is>
      </c>
      <c r="C63" s="9" t="inlineStr">
        <is>
          <t>noun</t>
        </is>
      </c>
      <c r="D63" s="7" t="inlineStr">
        <is>
          <t>/ˌtel.ɪ.kəˈmjuː.tɪŋ/</t>
        </is>
      </c>
      <c r="E63" s="10" t="inlineStr">
        <is>
          <t>Làm việc từ xa tại nhà qua mạng</t>
        </is>
      </c>
      <c r="F63" s="11" t="inlineStr">
        <is>
          <t>B2</t>
        </is>
      </c>
      <c r="G63" s="10" t="inlineStr">
        <is>
          <t>Telecommuting cuts down commuting hours and helps work-life balance.</t>
        </is>
      </c>
      <c r="H63" s="10" t="inlineStr">
        <is>
          <t>remote work, working from home, telework</t>
        </is>
      </c>
      <c r="I63" s="10" t="inlineStr">
        <is>
          <t>on-site work, office-based work</t>
        </is>
      </c>
      <c r="J63" s="10" t="inlineStr">
        <is>
          <t>adopt telecommuting, benefits of telecommuting</t>
        </is>
      </c>
      <c r="K63" s="10" t="inlineStr">
        <is>
          <t>Người làm từ xa: telecommuter.</t>
        </is>
      </c>
      <c r="L63" s="11" t="inlineStr">
        <is>
          <t>Đã thuộc</t>
        </is>
      </c>
    </row>
    <row r="64" ht="42" customHeight="1">
      <c r="A64" s="2" t="inlineStr">
        <is>
          <t>Work &amp; Business</t>
        </is>
      </c>
      <c r="B64" s="3" t="inlineStr">
        <is>
          <t>turnover</t>
        </is>
      </c>
      <c r="C64" s="4" t="inlineStr">
        <is>
          <t>noun</t>
        </is>
      </c>
      <c r="D64" s="2" t="inlineStr">
        <is>
          <t>/ˈtɜːnˌəʊ.vər/</t>
        </is>
      </c>
      <c r="E64" s="5" t="inlineStr">
        <is>
          <t>Tỷ lệ luân chuyển nhân viên / Doanh số</t>
        </is>
      </c>
      <c r="F64" s="6" t="inlineStr">
        <is>
          <t>B2</t>
        </is>
      </c>
      <c r="G64" s="5" t="inlineStr">
        <is>
          <t>High staff turnover disrupts project continuity and costs money in recruiting.</t>
        </is>
      </c>
      <c r="H64" s="5" t="inlineStr">
        <is>
          <t>staff churn, attrition rate; revenue</t>
        </is>
      </c>
      <c r="I64" s="5" t="inlineStr">
        <is>
          <t>staff retention, loyalty</t>
        </is>
      </c>
      <c r="J64" s="5" t="inlineStr">
        <is>
          <t>high staff turnover, reduce employee turnover, annual turnover</t>
        </is>
      </c>
      <c r="K64" s="5" t="inlineStr">
        <is>
          <t>Staff turnover = tỷ lệ nhảy việc.</t>
        </is>
      </c>
      <c r="L64" s="6" t="inlineStr">
        <is>
          <t>Đang học</t>
        </is>
      </c>
    </row>
    <row r="65" ht="42" customHeight="1">
      <c r="A65" s="7" t="inlineStr">
        <is>
          <t>Work &amp; Business</t>
        </is>
      </c>
      <c r="B65" s="8" t="inlineStr">
        <is>
          <t>flexitime</t>
        </is>
      </c>
      <c r="C65" s="9" t="inlineStr">
        <is>
          <t>noun</t>
        </is>
      </c>
      <c r="D65" s="7" t="inlineStr">
        <is>
          <t>/ˈflek.si.taɪm/</t>
        </is>
      </c>
      <c r="E65" s="10" t="inlineStr">
        <is>
          <t>Chế độ giờ làm việc linh hoạt</t>
        </is>
      </c>
      <c r="F65" s="11" t="inlineStr">
        <is>
          <t>B2</t>
        </is>
      </c>
      <c r="G65" s="10" t="inlineStr">
        <is>
          <t>Offering flexitime allows working parents to manage childcare easily.</t>
        </is>
      </c>
      <c r="H65" s="10" t="inlineStr">
        <is>
          <t>flexible working hours, variable schedule</t>
        </is>
      </c>
      <c r="I65" s="10" t="inlineStr">
        <is>
          <t>fixed hours, rigid 9-to-5</t>
        </is>
      </c>
      <c r="J65" s="10" t="inlineStr">
        <is>
          <t>work on flexitime, introduce flexitime, flexitime policy</t>
        </is>
      </c>
      <c r="K65" s="10" t="inlineStr">
        <is>
          <t>Flexible + time.</t>
        </is>
      </c>
      <c r="L65" s="11" t="inlineStr">
        <is>
          <t>Đã thuộc</t>
        </is>
      </c>
    </row>
    <row r="66" ht="42" customHeight="1">
      <c r="A66" s="2" t="inlineStr">
        <is>
          <t>Work &amp; Business</t>
        </is>
      </c>
      <c r="B66" s="3" t="inlineStr">
        <is>
          <t>lucrative</t>
        </is>
      </c>
      <c r="C66" s="4" t="inlineStr">
        <is>
          <t>adjective</t>
        </is>
      </c>
      <c r="D66" s="2" t="inlineStr">
        <is>
          <t>/ˈluː.krə.tɪv/</t>
        </is>
      </c>
      <c r="E66" s="5" t="inlineStr">
        <is>
          <t>Béo bở, sinh lợi nhuận cao, lương cao</t>
        </is>
      </c>
      <c r="F66" s="6" t="inlineStr">
        <is>
          <t>B2</t>
        </is>
      </c>
      <c r="G66" s="5" t="inlineStr">
        <is>
          <t>Software development is a highly lucrative profession in the modern market.</t>
        </is>
      </c>
      <c r="H66" s="5" t="inlineStr">
        <is>
          <t>profitable, highly paid, remunerative</t>
        </is>
      </c>
      <c r="I66" s="5" t="inlineStr">
        <is>
          <t>unprofitable, poorly paid</t>
        </is>
      </c>
      <c r="J66" s="5" t="inlineStr">
        <is>
          <t>lucrative career, lucrative business contract, lucrative deal</t>
        </is>
      </c>
      <c r="K66" s="5" t="inlineStr">
        <is>
          <t>Trọng âm 1: LU-cra-tive.</t>
        </is>
      </c>
      <c r="L66" s="6" t="inlineStr">
        <is>
          <t>Đang học</t>
        </is>
      </c>
    </row>
    <row r="67" ht="42" customHeight="1">
      <c r="A67" s="7" t="inlineStr">
        <is>
          <t>Work &amp; Business</t>
        </is>
      </c>
      <c r="B67" s="8" t="inlineStr">
        <is>
          <t>overtime</t>
        </is>
      </c>
      <c r="C67" s="9" t="inlineStr">
        <is>
          <t>noun/adverb</t>
        </is>
      </c>
      <c r="D67" s="7" t="inlineStr">
        <is>
          <t>/ˈəʊ.və.taɪm/</t>
        </is>
      </c>
      <c r="E67" s="10" t="inlineStr">
        <is>
          <t>Giờ làm thêm, làm ngoài giờ</t>
        </is>
      </c>
      <c r="F67" s="11" t="inlineStr">
        <is>
          <t>B1</t>
        </is>
      </c>
      <c r="G67" s="10" t="inlineStr">
        <is>
          <t>Factory workers often work overtime during holidays to earn extra income.</t>
        </is>
      </c>
      <c r="H67" s="10" t="inlineStr">
        <is>
          <t>extra hours, additional duty</t>
        </is>
      </c>
      <c r="I67" s="10" t="inlineStr">
        <is>
          <t>normal hours, regular shift</t>
        </is>
      </c>
      <c r="J67" s="10" t="inlineStr">
        <is>
          <t>work overtime, overtime pay, do overtime</t>
        </is>
      </c>
      <c r="K67" s="10" t="inlineStr">
        <is>
          <t>Overtime pay = lương làm thêm.</t>
        </is>
      </c>
      <c r="L67" s="11" t="inlineStr">
        <is>
          <t>Đã thuộc</t>
        </is>
      </c>
    </row>
    <row r="68" ht="42" customHeight="1">
      <c r="A68" s="2" t="inlineStr">
        <is>
          <t>Work &amp; Business</t>
        </is>
      </c>
      <c r="B68" s="3" t="inlineStr">
        <is>
          <t>commute</t>
        </is>
      </c>
      <c r="C68" s="4" t="inlineStr">
        <is>
          <t>verb/noun</t>
        </is>
      </c>
      <c r="D68" s="2" t="inlineStr">
        <is>
          <t>/kəˈmjuːt/</t>
        </is>
      </c>
      <c r="E68" s="5" t="inlineStr">
        <is>
          <t>Đi lại hàng ngày giữa nhà và chỗ làm</t>
        </is>
      </c>
      <c r="F68" s="6" t="inlineStr">
        <is>
          <t>B1</t>
        </is>
      </c>
      <c r="G68" s="5" t="inlineStr">
        <is>
          <t>Many residents commute by train to avoid traffic jams in city center.</t>
        </is>
      </c>
      <c r="H68" s="5" t="inlineStr">
        <is>
          <t>travel to work, daily journey</t>
        </is>
      </c>
      <c r="I68" s="5" t="inlineStr">
        <is>
          <t>stay at home, live on-site</t>
        </is>
      </c>
      <c r="J68" s="5" t="inlineStr">
        <is>
          <t>daily commute, long commute, commute by bus</t>
        </is>
      </c>
      <c r="K68" s="5" t="inlineStr">
        <is>
          <t>Người đi làm hàng ngày: commuter.</t>
        </is>
      </c>
      <c r="L68" s="6" t="inlineStr">
        <is>
          <t>Đã thuộc</t>
        </is>
      </c>
    </row>
    <row r="69" ht="42" customHeight="1">
      <c r="A69" s="7" t="inlineStr">
        <is>
          <t>Work &amp; Business</t>
        </is>
      </c>
      <c r="B69" s="8" t="inlineStr">
        <is>
          <t>remuneration</t>
        </is>
      </c>
      <c r="C69" s="9" t="inlineStr">
        <is>
          <t>noun</t>
        </is>
      </c>
      <c r="D69" s="7" t="inlineStr">
        <is>
          <t>/rɪˌmjuː.nərˈeɪ.ʃən/</t>
        </is>
      </c>
      <c r="E69" s="10" t="inlineStr">
        <is>
          <t>Tiền thù lao, chế độ tiền lương đãi ngộ</t>
        </is>
      </c>
      <c r="F69" s="11" t="inlineStr">
        <is>
          <t>B2</t>
        </is>
      </c>
      <c r="G69" s="10" t="inlineStr">
        <is>
          <t>Fair financial remuneration motivates employees to produce quality work.</t>
        </is>
      </c>
      <c r="H69" s="10" t="inlineStr">
        <is>
          <t>salary, wage, compensation, financial reward</t>
        </is>
      </c>
      <c r="I69" s="10" t="inlineStr">
        <is>
          <t>N/A</t>
        </is>
      </c>
      <c r="J69" s="10" t="inlineStr">
        <is>
          <t>remuneration package, adequate remuneration, fair remuneration</t>
        </is>
      </c>
      <c r="K69" s="10" t="inlineStr">
        <is>
          <t>Tính từ: remunerative.</t>
        </is>
      </c>
      <c r="L69" s="11" t="inlineStr">
        <is>
          <t>Đang học</t>
        </is>
      </c>
    </row>
    <row r="70" ht="42" customHeight="1">
      <c r="A70" s="2" t="inlineStr">
        <is>
          <t>Work &amp; Business</t>
        </is>
      </c>
      <c r="B70" s="3" t="inlineStr">
        <is>
          <t>pension</t>
        </is>
      </c>
      <c r="C70" s="4" t="inlineStr">
        <is>
          <t>noun</t>
        </is>
      </c>
      <c r="D70" s="2" t="inlineStr">
        <is>
          <t>/ˈpen.ʃən/</t>
        </is>
      </c>
      <c r="E70" s="5" t="inlineStr">
        <is>
          <t>Lương hưu sau khi nghỉ hưu</t>
        </is>
      </c>
      <c r="F70" s="6" t="inlineStr">
        <is>
          <t>B1</t>
        </is>
      </c>
      <c r="G70" s="5" t="inlineStr">
        <is>
          <t>Retirees rely on their monthly state pension to cover living expenses.</t>
        </is>
      </c>
      <c r="H70" s="5" t="inlineStr">
        <is>
          <t>retirement allowance, superannuation</t>
        </is>
      </c>
      <c r="I70" s="5" t="inlineStr">
        <is>
          <t>active wage, salary</t>
        </is>
      </c>
      <c r="J70" s="5" t="inlineStr">
        <is>
          <t>state pension, retirement pension, receive a pension</t>
        </is>
      </c>
      <c r="K70" s="5" t="inlineStr">
        <is>
          <t>Người nhận lương hưu: pensioner.</t>
        </is>
      </c>
      <c r="L70" s="6" t="inlineStr">
        <is>
          <t>Đã thuộc</t>
        </is>
      </c>
    </row>
    <row r="71" ht="42" customHeight="1">
      <c r="A71" s="7" t="inlineStr">
        <is>
          <t>Work &amp; Business</t>
        </is>
      </c>
      <c r="B71" s="8" t="inlineStr">
        <is>
          <t>resignation</t>
        </is>
      </c>
      <c r="C71" s="9" t="inlineStr">
        <is>
          <t>noun</t>
        </is>
      </c>
      <c r="D71" s="7" t="inlineStr">
        <is>
          <t>/ˌrez.ɪɡˈneɪ.ʃən/</t>
        </is>
      </c>
      <c r="E71" s="10" t="inlineStr">
        <is>
          <t>Sự từ chức, nộp đơn thôi việc</t>
        </is>
      </c>
      <c r="F71" s="11" t="inlineStr">
        <is>
          <t>B2</t>
        </is>
      </c>
      <c r="G71" s="10" t="inlineStr">
        <is>
          <t>The chief executive tendered his resignation following the scandal.</t>
        </is>
      </c>
      <c r="H71" s="10" t="inlineStr">
        <is>
          <t>quitting, stepping down, departure</t>
        </is>
      </c>
      <c r="I71" s="10" t="inlineStr">
        <is>
          <t>appointment, hiring</t>
        </is>
      </c>
      <c r="J71" s="10" t="inlineStr">
        <is>
          <t>letter of resignation, tender one's resignation, hand in resignation</t>
        </is>
      </c>
      <c r="K71" s="10" t="inlineStr">
        <is>
          <t>Động từ: resign /rɪˈzaɪn/.</t>
        </is>
      </c>
      <c r="L71" s="11" t="inlineStr">
        <is>
          <t>Đang học</t>
        </is>
      </c>
    </row>
    <row r="72" ht="42" customHeight="1">
      <c r="A72" s="2" t="inlineStr">
        <is>
          <t>Work &amp; Business</t>
        </is>
      </c>
      <c r="B72" s="3" t="inlineStr">
        <is>
          <t>deadline</t>
        </is>
      </c>
      <c r="C72" s="4" t="inlineStr">
        <is>
          <t>noun</t>
        </is>
      </c>
      <c r="D72" s="2" t="inlineStr">
        <is>
          <t>/ˈded.laɪn/</t>
        </is>
      </c>
      <c r="E72" s="5" t="inlineStr">
        <is>
          <t>Hạn chót hoàn thành công việc</t>
        </is>
      </c>
      <c r="F72" s="6" t="inlineStr">
        <is>
          <t>B1</t>
        </is>
      </c>
      <c r="G72" s="5" t="inlineStr">
        <is>
          <t>The team worked through the weekend to meet the strict project deadline.</t>
        </is>
      </c>
      <c r="H72" s="5" t="inlineStr">
        <is>
          <t>time limit, target date, due date</t>
        </is>
      </c>
      <c r="I72" s="5" t="inlineStr">
        <is>
          <t>N/A</t>
        </is>
      </c>
      <c r="J72" s="5" t="inlineStr">
        <is>
          <t>meet a deadline, miss a deadline, tight deadline</t>
        </is>
      </c>
      <c r="K72" s="5" t="inlineStr">
        <is>
          <t>Meet a deadline &gt;&lt; miss a deadline.</t>
        </is>
      </c>
      <c r="L72" s="6" t="inlineStr">
        <is>
          <t>Đã thuộc</t>
        </is>
      </c>
    </row>
    <row r="73" ht="42" customHeight="1">
      <c r="A73" s="7" t="inlineStr">
        <is>
          <t>Work &amp; Business</t>
        </is>
      </c>
      <c r="B73" s="8" t="inlineStr">
        <is>
          <t>competency</t>
        </is>
      </c>
      <c r="C73" s="9" t="inlineStr">
        <is>
          <t>noun</t>
        </is>
      </c>
      <c r="D73" s="7" t="inlineStr">
        <is>
          <t>/ˈkɒm.pɪ.tən.si/</t>
        </is>
      </c>
      <c r="E73" s="10" t="inlineStr">
        <is>
          <t>Năng lực chuyên môn hoàn thành tốt công việc</t>
        </is>
      </c>
      <c r="F73" s="11" t="inlineStr">
        <is>
          <t>B2</t>
        </is>
      </c>
      <c r="G73" s="10" t="inlineStr">
        <is>
          <t>The job requires high technical competency in database administration.</t>
        </is>
      </c>
      <c r="H73" s="10" t="inlineStr">
        <is>
          <t>capability, skill, proficiency, aptitude</t>
        </is>
      </c>
      <c r="I73" s="10" t="inlineStr">
        <is>
          <t>incompetence, inability</t>
        </is>
      </c>
      <c r="J73" s="10" t="inlineStr">
        <is>
          <t>core competency, professional competency, demonstrate competency</t>
        </is>
      </c>
      <c r="K73" s="10" t="inlineStr">
        <is>
          <t>Tính từ: competent /ˈkɒm.pɪ.tənt/.</t>
        </is>
      </c>
      <c r="L73" s="11" t="inlineStr">
        <is>
          <t>Đang học</t>
        </is>
      </c>
    </row>
    <row r="74" ht="42" customHeight="1">
      <c r="A74" s="2" t="inlineStr">
        <is>
          <t>Health &amp; Fitness</t>
        </is>
      </c>
      <c r="B74" s="3" t="inlineStr">
        <is>
          <t>sedentary</t>
        </is>
      </c>
      <c r="C74" s="4" t="inlineStr">
        <is>
          <t>adjective</t>
        </is>
      </c>
      <c r="D74" s="2" t="inlineStr">
        <is>
          <t>/ˈsed.ən.tər.i/</t>
        </is>
      </c>
      <c r="E74" s="5" t="inlineStr">
        <is>
          <t>Thụ động, ngồi nhiều một chỗ ít vận động</t>
        </is>
      </c>
      <c r="F74" s="6" t="inlineStr">
        <is>
          <t>B2</t>
        </is>
      </c>
      <c r="G74" s="5" t="inlineStr">
        <is>
          <t>A sedentary lifestyle combined with fast food increases the risk of obesity.</t>
        </is>
      </c>
      <c r="H74" s="5" t="inlineStr">
        <is>
          <t>inactive, seated, desk-bound</t>
        </is>
      </c>
      <c r="I74" s="5" t="inlineStr">
        <is>
          <t>active, vigorous, dynamic</t>
        </is>
      </c>
      <c r="J74" s="5" t="inlineStr">
        <is>
          <t>sedentary lifestyle, sedentary job, sedentary behavior</t>
        </is>
      </c>
      <c r="K74" s="5" t="inlineStr">
        <is>
          <t>Rất hay gặp trong IELTS Task 2.</t>
        </is>
      </c>
      <c r="L74" s="6" t="inlineStr">
        <is>
          <t>Đã thuộc</t>
        </is>
      </c>
    </row>
    <row r="75" ht="42" customHeight="1">
      <c r="A75" s="7" t="inlineStr">
        <is>
          <t>Health &amp; Fitness</t>
        </is>
      </c>
      <c r="B75" s="8" t="inlineStr">
        <is>
          <t>nutritious</t>
        </is>
      </c>
      <c r="C75" s="9" t="inlineStr">
        <is>
          <t>adjective</t>
        </is>
      </c>
      <c r="D75" s="7" t="inlineStr">
        <is>
          <t>/njuːˈtrɪʃ.əs/</t>
        </is>
      </c>
      <c r="E75" s="10" t="inlineStr">
        <is>
          <t>Bổ dưỡng, giàu chất dinh dưỡng tốt cho cơ thể</t>
        </is>
      </c>
      <c r="F75" s="11" t="inlineStr">
        <is>
          <t>B1</t>
        </is>
      </c>
      <c r="G75" s="10" t="inlineStr">
        <is>
          <t>A nutritious breakfast gives you sustained energy throughout the morning.</t>
        </is>
      </c>
      <c r="H75" s="10" t="inlineStr">
        <is>
          <t>nourishing, wholesome, nutrient-rich</t>
        </is>
      </c>
      <c r="I75" s="10" t="inlineStr">
        <is>
          <t>unhealthy, junk, unwholesome</t>
        </is>
      </c>
      <c r="J75" s="10" t="inlineStr">
        <is>
          <t>nutritious meal, highly nutritious, nutritious diet</t>
        </is>
      </c>
      <c r="K75" s="10" t="inlineStr">
        <is>
          <t>Danh từ: nutrition, nutrient.</t>
        </is>
      </c>
      <c r="L75" s="11" t="inlineStr">
        <is>
          <t>Đã thuộc</t>
        </is>
      </c>
    </row>
    <row r="76" ht="42" customHeight="1">
      <c r="A76" s="2" t="inlineStr">
        <is>
          <t>Health &amp; Fitness</t>
        </is>
      </c>
      <c r="B76" s="3" t="inlineStr">
        <is>
          <t>obesity</t>
        </is>
      </c>
      <c r="C76" s="4" t="inlineStr">
        <is>
          <t>noun</t>
        </is>
      </c>
      <c r="D76" s="2" t="inlineStr">
        <is>
          <t>/əʊˈbiː.sə.ti/</t>
        </is>
      </c>
      <c r="E76" s="5" t="inlineStr">
        <is>
          <t>Bệnh béo phì thừa cân nghiêm trọng</t>
        </is>
      </c>
      <c r="F76" s="6" t="inlineStr">
        <is>
          <t>B2</t>
        </is>
      </c>
      <c r="G76" s="5" t="inlineStr">
        <is>
          <t>Childhood obesity has become a major public health concern globally.</t>
        </is>
      </c>
      <c r="H76" s="5" t="inlineStr">
        <is>
          <t>extreme overweight, corpulence</t>
        </is>
      </c>
      <c r="I76" s="5" t="inlineStr">
        <is>
          <t>underweight, slimness</t>
        </is>
      </c>
      <c r="J76" s="5" t="inlineStr">
        <is>
          <t>childhood obesity, combat obesity, obesity epidemic</t>
        </is>
      </c>
      <c r="K76" s="5" t="inlineStr">
        <is>
          <t>Tính từ: obese /əʊˈbiːs/.</t>
        </is>
      </c>
      <c r="L76" s="6" t="inlineStr">
        <is>
          <t>Đã thuộc</t>
        </is>
      </c>
    </row>
    <row r="77" ht="42" customHeight="1">
      <c r="A77" s="7" t="inlineStr">
        <is>
          <t>Health &amp; Fitness</t>
        </is>
      </c>
      <c r="B77" s="8" t="inlineStr">
        <is>
          <t>chronic</t>
        </is>
      </c>
      <c r="C77" s="9" t="inlineStr">
        <is>
          <t>adjective</t>
        </is>
      </c>
      <c r="D77" s="7" t="inlineStr">
        <is>
          <t>/ˈkrɒn.ɪk/</t>
        </is>
      </c>
      <c r="E77" s="10" t="inlineStr">
        <is>
          <t>Mãn tính, kinh niên kéo dài khó chữa</t>
        </is>
      </c>
      <c r="F77" s="11" t="inlineStr">
        <is>
          <t>B2</t>
        </is>
      </c>
      <c r="G77" s="10" t="inlineStr">
        <is>
          <t>Preventive healthcare focuses on reducing chronic illnesses like diabetes.</t>
        </is>
      </c>
      <c r="H77" s="10" t="inlineStr">
        <is>
          <t>long-lasting, persistent, recurring</t>
        </is>
      </c>
      <c r="I77" s="10" t="inlineStr">
        <is>
          <t>acute, temporary, short-lived</t>
        </is>
      </c>
      <c r="J77" s="10" t="inlineStr">
        <is>
          <t>chronic illness, chronic disease, chronic pain</t>
        </is>
      </c>
      <c r="K77" s="10" t="inlineStr">
        <is>
          <t>Trái nghĩa: acute (cấp tính).</t>
        </is>
      </c>
      <c r="L77" s="11" t="inlineStr">
        <is>
          <t>Đang học</t>
        </is>
      </c>
    </row>
    <row r="78" ht="42" customHeight="1">
      <c r="A78" s="2" t="inlineStr">
        <is>
          <t>Health &amp; Fitness</t>
        </is>
      </c>
      <c r="B78" s="3" t="inlineStr">
        <is>
          <t>immune system</t>
        </is>
      </c>
      <c r="C78" s="4" t="inlineStr">
        <is>
          <t>noun phrase</t>
        </is>
      </c>
      <c r="D78" s="2" t="inlineStr">
        <is>
          <t>/ɪˈmjuːn ˌsɪs.təm/</t>
        </is>
      </c>
      <c r="E78" s="5" t="inlineStr">
        <is>
          <t>Hệ miễn dịch tự nhiên bảo vệ cơ thể</t>
        </is>
      </c>
      <c r="F78" s="6" t="inlineStr">
        <is>
          <t>B1</t>
        </is>
      </c>
      <c r="G78" s="5" t="inlineStr">
        <is>
          <t>Eating citrus fruits and getting sleep help strengthen your immune system.</t>
        </is>
      </c>
      <c r="H78" s="5" t="inlineStr">
        <is>
          <t>body defenses, natural immunity</t>
        </is>
      </c>
      <c r="I78" s="5" t="inlineStr">
        <is>
          <t>immunodeficiency</t>
        </is>
      </c>
      <c r="J78" s="5" t="inlineStr">
        <is>
          <t>boost the immune system, weaken immune system</t>
        </is>
      </c>
      <c r="K78" s="5" t="inlineStr">
        <is>
          <t>Tính từ: immune to disease.</t>
        </is>
      </c>
      <c r="L78" s="6" t="inlineStr">
        <is>
          <t>Đã thuộc</t>
        </is>
      </c>
    </row>
    <row r="79" ht="42" customHeight="1">
      <c r="A79" s="7" t="inlineStr">
        <is>
          <t>Health &amp; Fitness</t>
        </is>
      </c>
      <c r="B79" s="8" t="inlineStr">
        <is>
          <t>epidemic</t>
        </is>
      </c>
      <c r="C79" s="9" t="inlineStr">
        <is>
          <t>noun/adjective</t>
        </is>
      </c>
      <c r="D79" s="7" t="inlineStr">
        <is>
          <t>/ˌep.ɪˈdem.ɪk/</t>
        </is>
      </c>
      <c r="E79" s="10" t="inlineStr">
        <is>
          <t>Bệnh dịch lây lan nhanh trong cộng đồng</t>
        </is>
      </c>
      <c r="F79" s="11" t="inlineStr">
        <is>
          <t>B2</t>
        </is>
      </c>
      <c r="G79" s="10" t="inlineStr">
        <is>
          <t>Health workers worked around the clock to contain the flu epidemic.</t>
        </is>
      </c>
      <c r="H79" s="10" t="inlineStr">
        <is>
          <t>outbreak, widespread contagion</t>
        </is>
      </c>
      <c r="I79" s="10" t="inlineStr">
        <is>
          <t>endemic, eradication</t>
        </is>
      </c>
      <c r="J79" s="10" t="inlineStr">
        <is>
          <t>epidemic outbreak, flu epidemic, contain an epidemic</t>
        </is>
      </c>
      <c r="K79" s="10" t="inlineStr">
        <is>
          <t>Dịch toàn cầu: pandemic.</t>
        </is>
      </c>
      <c r="L79" s="11" t="inlineStr">
        <is>
          <t>Đang học</t>
        </is>
      </c>
    </row>
    <row r="80" ht="42" customHeight="1">
      <c r="A80" s="2" t="inlineStr">
        <is>
          <t>Health &amp; Fitness</t>
        </is>
      </c>
      <c r="B80" s="3" t="inlineStr">
        <is>
          <t>longevity</t>
        </is>
      </c>
      <c r="C80" s="4" t="inlineStr">
        <is>
          <t>noun</t>
        </is>
      </c>
      <c r="D80" s="2" t="inlineStr">
        <is>
          <t>/lɒnˈdʒev.ə.ti/</t>
        </is>
      </c>
      <c r="E80" s="5" t="inlineStr">
        <is>
          <t>Tuổi thọ cao, sự trường thọ</t>
        </is>
      </c>
      <c r="F80" s="6" t="inlineStr">
        <is>
          <t>B2</t>
        </is>
      </c>
      <c r="G80" s="5" t="inlineStr">
        <is>
          <t>A healthy diet and active social life contribute to human longevity.</t>
        </is>
      </c>
      <c r="H80" s="5" t="inlineStr">
        <is>
          <t>long life, lifespan, life expectancy</t>
        </is>
      </c>
      <c r="I80" s="5" t="inlineStr">
        <is>
          <t>short lifespan, early death</t>
        </is>
      </c>
      <c r="J80" s="5" t="inlineStr">
        <is>
          <t>promote longevity, secret to longevity, exceptional longevity</t>
        </is>
      </c>
      <c r="K80" s="5" t="inlineStr">
        <is>
          <t>Trọng âm 2: lon-GEV-i-ty.</t>
        </is>
      </c>
      <c r="L80" s="6" t="inlineStr">
        <is>
          <t>Đã thuộc</t>
        </is>
      </c>
    </row>
    <row r="81" ht="42" customHeight="1">
      <c r="A81" s="7" t="inlineStr">
        <is>
          <t>Health &amp; Fitness</t>
        </is>
      </c>
      <c r="B81" s="8" t="inlineStr">
        <is>
          <t>hygiene</t>
        </is>
      </c>
      <c r="C81" s="9" t="inlineStr">
        <is>
          <t>noun</t>
        </is>
      </c>
      <c r="D81" s="7" t="inlineStr">
        <is>
          <t>/ˈhaɪ.dʒiːn/</t>
        </is>
      </c>
      <c r="E81" s="10" t="inlineStr">
        <is>
          <t>Vệ sinh cá nhân hoặc ăn uống phòng bệnh</t>
        </is>
      </c>
      <c r="F81" s="11" t="inlineStr">
        <is>
          <t>B1</t>
        </is>
      </c>
      <c r="G81" s="10" t="inlineStr">
        <is>
          <t>Washing hands thoroughly with soap is essential for good food hygiene.</t>
        </is>
      </c>
      <c r="H81" s="10" t="inlineStr">
        <is>
          <t>cleanliness, sanitation, purity</t>
        </is>
      </c>
      <c r="I81" s="10" t="inlineStr">
        <is>
          <t>filth, dirtiness</t>
        </is>
      </c>
      <c r="J81" s="10" t="inlineStr">
        <is>
          <t>personal hygiene, food hygiene, poor hygiene</t>
        </is>
      </c>
      <c r="K81" s="10" t="inlineStr">
        <is>
          <t>Tính từ: hygienic /haɪˈdʒen.ɪk/.</t>
        </is>
      </c>
      <c r="L81" s="11" t="inlineStr">
        <is>
          <t>Đã thuộc</t>
        </is>
      </c>
    </row>
    <row r="82" ht="42" customHeight="1">
      <c r="A82" s="2" t="inlineStr">
        <is>
          <t>Health &amp; Fitness</t>
        </is>
      </c>
      <c r="B82" s="3" t="inlineStr">
        <is>
          <t>prescribe</t>
        </is>
      </c>
      <c r="C82" s="4" t="inlineStr">
        <is>
          <t>verb</t>
        </is>
      </c>
      <c r="D82" s="2" t="inlineStr">
        <is>
          <t>/prɪˈskraɪb/</t>
        </is>
      </c>
      <c r="E82" s="5" t="inlineStr">
        <is>
          <t>Kê đơn thuốc, chỉ định điều trị y tế</t>
        </is>
      </c>
      <c r="F82" s="6" t="inlineStr">
        <is>
          <t>B1</t>
        </is>
      </c>
      <c r="G82" s="5" t="inlineStr">
        <is>
          <t>The doctor prescribed a course of antibiotics to treat the throat infection.</t>
        </is>
      </c>
      <c r="H82" s="5" t="inlineStr">
        <is>
          <t>order medicine, recommend, write prescription</t>
        </is>
      </c>
      <c r="I82" s="5" t="inlineStr">
        <is>
          <t>prohibit, forbid</t>
        </is>
      </c>
      <c r="J82" s="5" t="inlineStr">
        <is>
          <t>prescribe medication, prescribe antibiotics, doctor prescribes</t>
        </is>
      </c>
      <c r="K82" s="5" t="inlineStr">
        <is>
          <t>Danh từ: prescription (đơn thuốc).</t>
        </is>
      </c>
      <c r="L82" s="6" t="inlineStr">
        <is>
          <t>Đã thuộc</t>
        </is>
      </c>
    </row>
    <row r="83" ht="42" customHeight="1">
      <c r="A83" s="7" t="inlineStr">
        <is>
          <t>Health &amp; Fitness</t>
        </is>
      </c>
      <c r="B83" s="8" t="inlineStr">
        <is>
          <t>symptom</t>
        </is>
      </c>
      <c r="C83" s="9" t="inlineStr">
        <is>
          <t>noun</t>
        </is>
      </c>
      <c r="D83" s="7" t="inlineStr">
        <is>
          <t>/ˈsɪmp.təm/</t>
        </is>
      </c>
      <c r="E83" s="10" t="inlineStr">
        <is>
          <t>Triệu chứng báo hiệu bệnh tật</t>
        </is>
      </c>
      <c r="F83" s="11" t="inlineStr">
        <is>
          <t>B1</t>
        </is>
      </c>
      <c r="G83" s="10" t="inlineStr">
        <is>
          <t>Common symptoms of flu include fever, headache, and muscle fatigue.</t>
        </is>
      </c>
      <c r="H83" s="10" t="inlineStr">
        <is>
          <t>sign, indication, manifestation</t>
        </is>
      </c>
      <c r="I83" s="10" t="inlineStr">
        <is>
          <t>cure, recovery</t>
        </is>
      </c>
      <c r="J83" s="10" t="inlineStr">
        <is>
          <t>show symptoms, develop symptoms, relieve symptoms</t>
        </is>
      </c>
      <c r="K83" s="10" t="inlineStr">
        <is>
          <t>Tính từ: symptomatic.</t>
        </is>
      </c>
      <c r="L83" s="11" t="inlineStr">
        <is>
          <t>Đã thuộc</t>
        </is>
      </c>
    </row>
    <row r="84" ht="42" customHeight="1">
      <c r="A84" s="2" t="inlineStr">
        <is>
          <t>Health &amp; Fitness</t>
        </is>
      </c>
      <c r="B84" s="3" t="inlineStr">
        <is>
          <t>rehabilitation</t>
        </is>
      </c>
      <c r="C84" s="4" t="inlineStr">
        <is>
          <t>noun</t>
        </is>
      </c>
      <c r="D84" s="2" t="inlineStr">
        <is>
          <t>/ˌriː.həˌbɪl.ɪˈteɪ.ʃən/</t>
        </is>
      </c>
      <c r="E84" s="5" t="inlineStr">
        <is>
          <t>Quá trình phục hồi chức năng sau chấn thương</t>
        </is>
      </c>
      <c r="F84" s="6" t="inlineStr">
        <is>
          <t>B2</t>
        </is>
      </c>
      <c r="G84" s="5" t="inlineStr">
        <is>
          <t>After the surgery, the athlete spent three months in physical rehabilitation.</t>
        </is>
      </c>
      <c r="H84" s="5" t="inlineStr">
        <is>
          <t>recovery, recuperation, physical therapy</t>
        </is>
      </c>
      <c r="I84" s="5" t="inlineStr">
        <is>
          <t>relapse, decline</t>
        </is>
      </c>
      <c r="J84" s="5" t="inlineStr">
        <is>
          <t>undergo rehabilitation, rehabilitation center, post-surgery rehabilitation</t>
        </is>
      </c>
      <c r="K84" s="5" t="inlineStr">
        <is>
          <t>Động từ: rehabilitate. Viết tắt: rehab.</t>
        </is>
      </c>
      <c r="L84" s="6" t="inlineStr">
        <is>
          <t>Đang học</t>
        </is>
      </c>
    </row>
    <row r="85" ht="42" customHeight="1">
      <c r="A85" s="7" t="inlineStr">
        <is>
          <t>Health &amp; Fitness</t>
        </is>
      </c>
      <c r="B85" s="8" t="inlineStr">
        <is>
          <t>contagious</t>
        </is>
      </c>
      <c r="C85" s="9" t="inlineStr">
        <is>
          <t>adjective</t>
        </is>
      </c>
      <c r="D85" s="7" t="inlineStr">
        <is>
          <t>/kənˈteɪ.dʒəs/</t>
        </is>
      </c>
      <c r="E85" s="10" t="inlineStr">
        <is>
          <t>Dễ lây nhiễm qua tiếp xúc trực tiếp</t>
        </is>
      </c>
      <c r="F85" s="11" t="inlineStr">
        <is>
          <t>B2</t>
        </is>
      </c>
      <c r="G85" s="10" t="inlineStr">
        <is>
          <t>Chickenpox and the common cold are highly contagious infectious diseases.</t>
        </is>
      </c>
      <c r="H85" s="10" t="inlineStr">
        <is>
          <t>infectious, transmissible, catching</t>
        </is>
      </c>
      <c r="I85" s="10" t="inlineStr">
        <is>
          <t>non-contagious, non-infectious</t>
        </is>
      </c>
      <c r="J85" s="10" t="inlineStr">
        <is>
          <t>highly contagious, contagious disease, contagious illness</t>
        </is>
      </c>
      <c r="K85" s="10" t="inlineStr">
        <is>
          <t>Danh từ: contagion.</t>
        </is>
      </c>
      <c r="L85" s="11" t="inlineStr">
        <is>
          <t>Đang học</t>
        </is>
      </c>
    </row>
    <row r="86" ht="42" customHeight="1">
      <c r="A86" s="2" t="inlineStr">
        <is>
          <t>Health &amp; Fitness</t>
        </is>
      </c>
      <c r="B86" s="3" t="inlineStr">
        <is>
          <t>allergy</t>
        </is>
      </c>
      <c r="C86" s="4" t="inlineStr">
        <is>
          <t>noun</t>
        </is>
      </c>
      <c r="D86" s="2" t="inlineStr">
        <is>
          <t>/ˈæl.ə.dʒi/</t>
        </is>
      </c>
      <c r="E86" s="5" t="inlineStr">
        <is>
          <t>Sự dị ứng thức ăn hoặc thời tiết</t>
        </is>
      </c>
      <c r="F86" s="6" t="inlineStr">
        <is>
          <t>A2</t>
        </is>
      </c>
      <c r="G86" s="5" t="inlineStr">
        <is>
          <t>Some children have a severe peanut allergy requiring immediate care.</t>
        </is>
      </c>
      <c r="H86" s="5" t="inlineStr">
        <is>
          <t>hypersensitivity, allergic reaction</t>
        </is>
      </c>
      <c r="I86" s="5" t="inlineStr">
        <is>
          <t>immunity, tolerance</t>
        </is>
      </c>
      <c r="J86" s="5" t="inlineStr">
        <is>
          <t>food allergy, severe allergy, allergic to</t>
        </is>
      </c>
      <c r="K86" s="5" t="inlineStr">
        <is>
          <t>Tính từ: allergic to sth.</t>
        </is>
      </c>
      <c r="L86" s="6" t="inlineStr">
        <is>
          <t>Đã thuộc</t>
        </is>
      </c>
    </row>
    <row r="87" ht="42" customHeight="1">
      <c r="A87" s="7" t="inlineStr">
        <is>
          <t>Health &amp; Fitness</t>
        </is>
      </c>
      <c r="B87" s="8" t="inlineStr">
        <is>
          <t>fatigue</t>
        </is>
      </c>
      <c r="C87" s="9" t="inlineStr">
        <is>
          <t>noun</t>
        </is>
      </c>
      <c r="D87" s="7" t="inlineStr">
        <is>
          <t>/fəˈtiːɡ/</t>
        </is>
      </c>
      <c r="E87" s="10" t="inlineStr">
        <is>
          <t>Tình trạng mệt mỏi kiệt sức kéo dài</t>
        </is>
      </c>
      <c r="F87" s="11" t="inlineStr">
        <is>
          <t>B2</t>
        </is>
      </c>
      <c r="G87" s="10" t="inlineStr">
        <is>
          <t>Working sixty hours a week can lead to chronic mental fatigue.</t>
        </is>
      </c>
      <c r="H87" s="10" t="inlineStr">
        <is>
          <t>exhaustion, tiredness, weariness</t>
        </is>
      </c>
      <c r="I87" s="10" t="inlineStr">
        <is>
          <t>energy, vitality, vigor</t>
        </is>
      </c>
      <c r="J87" s="10" t="inlineStr">
        <is>
          <t>suffer from fatigue, chronic fatigue, muscle fatigue</t>
        </is>
      </c>
      <c r="K87" s="10" t="inlineStr">
        <is>
          <t>Trọng âm 2: fa-TIGUE.</t>
        </is>
      </c>
      <c r="L87" s="11" t="inlineStr">
        <is>
          <t>Đang học</t>
        </is>
      </c>
    </row>
    <row r="88" ht="42" customHeight="1">
      <c r="A88" s="2" t="inlineStr">
        <is>
          <t>Health &amp; Fitness</t>
        </is>
      </c>
      <c r="B88" s="3" t="inlineStr">
        <is>
          <t>calorie</t>
        </is>
      </c>
      <c r="C88" s="4" t="inlineStr">
        <is>
          <t>noun</t>
        </is>
      </c>
      <c r="D88" s="2" t="inlineStr">
        <is>
          <t>/ˈkæl.ər.i/</t>
        </is>
      </c>
      <c r="E88" s="5" t="inlineStr">
        <is>
          <t>Đơn vị năng lượng trong thực phẩm</t>
        </is>
      </c>
      <c r="F88" s="6" t="inlineStr">
        <is>
          <t>A2</t>
        </is>
      </c>
      <c r="G88" s="5" t="inlineStr">
        <is>
          <t>Drinking water instead of sodas helps reduce daily calorie intake.</t>
        </is>
      </c>
      <c r="H88" s="5" t="inlineStr">
        <is>
          <t>energy unit, dietary energy</t>
        </is>
      </c>
      <c r="I88" s="5" t="inlineStr">
        <is>
          <t>N/A</t>
        </is>
      </c>
      <c r="J88" s="5" t="inlineStr">
        <is>
          <t>burn calories, count calories, calorie intake</t>
        </is>
      </c>
      <c r="K88" s="5" t="inlineStr">
        <is>
          <t>Calorie intake = lượng calo nạp vào.</t>
        </is>
      </c>
      <c r="L88" s="6" t="inlineStr">
        <is>
          <t>Đã thuộc</t>
        </is>
      </c>
    </row>
    <row r="89" ht="42" customHeight="1">
      <c r="A89" s="7" t="inlineStr">
        <is>
          <t>Health &amp; Fitness</t>
        </is>
      </c>
      <c r="B89" s="8" t="inlineStr">
        <is>
          <t>supplement</t>
        </is>
      </c>
      <c r="C89" s="9" t="inlineStr">
        <is>
          <t>noun/verb</t>
        </is>
      </c>
      <c r="D89" s="7" t="inlineStr">
        <is>
          <t>/ˈsʌp.lɪ.mənt/</t>
        </is>
      </c>
      <c r="E89" s="10" t="inlineStr">
        <is>
          <t>Thực phẩm chức năng bổ sung dinh dưỡng</t>
        </is>
      </c>
      <c r="F89" s="11" t="inlineStr">
        <is>
          <t>B1</t>
        </is>
      </c>
      <c r="G89" s="10" t="inlineStr">
        <is>
          <t>Vegetarians often take vitamin B12 supplements for balanced nutrition.</t>
        </is>
      </c>
      <c r="H89" s="10" t="inlineStr">
        <is>
          <t>addition, booster, additive</t>
        </is>
      </c>
      <c r="I89" s="10" t="inlineStr">
        <is>
          <t>reduction, deficit</t>
        </is>
      </c>
      <c r="J89" s="10" t="inlineStr">
        <is>
          <t>dietary supplement, vitamin supplement, take supplements</t>
        </is>
      </c>
      <c r="K89" s="10" t="inlineStr">
        <is>
          <t>Danh từ: /ˈsʌp.lɪ.mənt/.</t>
        </is>
      </c>
      <c r="L89" s="11" t="inlineStr">
        <is>
          <t>Đã thuộc</t>
        </is>
      </c>
    </row>
    <row r="90" ht="42" customHeight="1">
      <c r="A90" s="2" t="inlineStr">
        <is>
          <t>Health &amp; Fitness</t>
        </is>
      </c>
      <c r="B90" s="3" t="inlineStr">
        <is>
          <t>sedative</t>
        </is>
      </c>
      <c r="C90" s="4" t="inlineStr">
        <is>
          <t>noun/adjective</t>
        </is>
      </c>
      <c r="D90" s="2" t="inlineStr">
        <is>
          <t>/ˈsed.ə.tɪv/</t>
        </is>
      </c>
      <c r="E90" s="5" t="inlineStr">
        <is>
          <t>Thuốc an thần gây ngủ làm dịu thần kinh</t>
        </is>
      </c>
      <c r="F90" s="6" t="inlineStr">
        <is>
          <t>B2</t>
        </is>
      </c>
      <c r="G90" s="5" t="inlineStr">
        <is>
          <t>The physician prescribed a mild sedative to help the patient sleep.</t>
        </is>
      </c>
      <c r="H90" s="5" t="inlineStr">
        <is>
          <t>tranquilizer, sleeping pill, calming agent</t>
        </is>
      </c>
      <c r="I90" s="5" t="inlineStr">
        <is>
          <t>stimulant, energizer</t>
        </is>
      </c>
      <c r="J90" s="5" t="inlineStr">
        <is>
          <t>mild sedative, take a sedative, sedative effect</t>
        </is>
      </c>
      <c r="K90" s="5" t="inlineStr">
        <is>
          <t>Động từ: sedate /sɪˈdeɪt/.</t>
        </is>
      </c>
      <c r="L90" s="6" t="inlineStr">
        <is>
          <t>Cần ôn lại</t>
        </is>
      </c>
    </row>
    <row r="91" ht="42" customHeight="1">
      <c r="A91" s="7" t="inlineStr">
        <is>
          <t>Health &amp; Fitness</t>
        </is>
      </c>
      <c r="B91" s="8" t="inlineStr">
        <is>
          <t>hydration</t>
        </is>
      </c>
      <c r="C91" s="9" t="inlineStr">
        <is>
          <t>noun</t>
        </is>
      </c>
      <c r="D91" s="7" t="inlineStr">
        <is>
          <t>/haɪˈdreɪ.ʃən/</t>
        </is>
      </c>
      <c r="E91" s="10" t="inlineStr">
        <is>
          <t>Sự cấp nước đầy đủ cho cơ thể</t>
        </is>
      </c>
      <c r="F91" s="11" t="inlineStr">
        <is>
          <t>B2</t>
        </is>
      </c>
      <c r="G91" s="10" t="inlineStr">
        <is>
          <t>Proper hydration is crucial when doing endurance exercises in hot weather.</t>
        </is>
      </c>
      <c r="H91" s="10" t="inlineStr">
        <is>
          <t>fluid intake, moisture replenishment</t>
        </is>
      </c>
      <c r="I91" s="10" t="inlineStr">
        <is>
          <t>dehydration, water loss</t>
        </is>
      </c>
      <c r="J91" s="10" t="inlineStr">
        <is>
          <t>maintain hydration, stay hydrated, proper hydration</t>
        </is>
      </c>
      <c r="K91" s="10" t="inlineStr">
        <is>
          <t>Động từ: hydrate &gt;&lt; dehydrate.</t>
        </is>
      </c>
      <c r="L91" s="11" t="inlineStr">
        <is>
          <t>Đã thuộc</t>
        </is>
      </c>
    </row>
    <row r="92" ht="42" customHeight="1">
      <c r="A92" s="2" t="inlineStr">
        <is>
          <t>Society &amp; Family</t>
        </is>
      </c>
      <c r="B92" s="3" t="inlineStr">
        <is>
          <t>nuclear family</t>
        </is>
      </c>
      <c r="C92" s="4" t="inlineStr">
        <is>
          <t>noun phrase</t>
        </is>
      </c>
      <c r="D92" s="2" t="inlineStr">
        <is>
          <t>/ˌnjuː.kli.ə ˈfæm.əl.i/</t>
        </is>
      </c>
      <c r="E92" s="5" t="inlineStr">
        <is>
          <t>Gia đình hạt nhân chỉ gồm cha mẹ và con cái</t>
        </is>
      </c>
      <c r="F92" s="6" t="inlineStr">
        <is>
          <t>B1</t>
        </is>
      </c>
      <c r="G92" s="5" t="inlineStr">
        <is>
          <t>In modern cities, most households are nuclear families with one or two kids.</t>
        </is>
      </c>
      <c r="H92" s="5" t="inlineStr">
        <is>
          <t>small family, basic family unit</t>
        </is>
      </c>
      <c r="I92" s="5" t="inlineStr">
        <is>
          <t>extended family</t>
        </is>
      </c>
      <c r="J92" s="5" t="inlineStr">
        <is>
          <t>live in a nuclear family, structure of nuclear family</t>
        </is>
      </c>
      <c r="K92" s="5" t="inlineStr">
        <is>
          <t>Đối lập với extended family.</t>
        </is>
      </c>
      <c r="L92" s="6" t="inlineStr">
        <is>
          <t>Đã thuộc</t>
        </is>
      </c>
    </row>
    <row r="93" ht="42" customHeight="1">
      <c r="A93" s="7" t="inlineStr">
        <is>
          <t>Society &amp; Family</t>
        </is>
      </c>
      <c r="B93" s="8" t="inlineStr">
        <is>
          <t>extended family</t>
        </is>
      </c>
      <c r="C93" s="9" t="inlineStr">
        <is>
          <t>noun phrase</t>
        </is>
      </c>
      <c r="D93" s="7" t="inlineStr">
        <is>
          <t>/ɪkˌsten.dɪd ˈfæm.əl.i/</t>
        </is>
      </c>
      <c r="E93" s="10" t="inlineStr">
        <is>
          <t>Gia đình nhiều thế hệ (ông bà, cha mẹ, con cháu)</t>
        </is>
      </c>
      <c r="F93" s="11" t="inlineStr">
        <is>
          <t>B1</t>
        </is>
      </c>
      <c r="G93" s="10" t="inlineStr">
        <is>
          <t>Living in an extended family allows grandparents to assist with childcare.</t>
        </is>
      </c>
      <c r="H93" s="10" t="inlineStr">
        <is>
          <t>multi-generational family, joint family</t>
        </is>
      </c>
      <c r="I93" s="10" t="inlineStr">
        <is>
          <t>nuclear family</t>
        </is>
      </c>
      <c r="J93" s="10" t="inlineStr">
        <is>
          <t>live with extended family, extended family members</t>
        </is>
      </c>
      <c r="K93" s="10" t="inlineStr">
        <is>
          <t>Văn hóa truyền thống Á Đông.</t>
        </is>
      </c>
      <c r="L93" s="11" t="inlineStr">
        <is>
          <t>Đã thuộc</t>
        </is>
      </c>
    </row>
    <row r="94" ht="42" customHeight="1">
      <c r="A94" s="2" t="inlineStr">
        <is>
          <t>Society &amp; Family</t>
        </is>
      </c>
      <c r="B94" s="3" t="inlineStr">
        <is>
          <t>breadwinner</t>
        </is>
      </c>
      <c r="C94" s="4" t="inlineStr">
        <is>
          <t>noun</t>
        </is>
      </c>
      <c r="D94" s="2" t="inlineStr">
        <is>
          <t>/ˈbredˌwɪn.ər/</t>
        </is>
      </c>
      <c r="E94" s="5" t="inlineStr">
        <is>
          <t>Trụ cột kiếm tiền chính nuôi sống gia đình</t>
        </is>
      </c>
      <c r="F94" s="6" t="inlineStr">
        <is>
          <t>B2</t>
        </is>
      </c>
      <c r="G94" s="5" t="inlineStr">
        <is>
          <t>In many modern households, both spouses work as equal breadwinners.</t>
        </is>
      </c>
      <c r="H94" s="5" t="inlineStr">
        <is>
          <t>primary earner, sole provider</t>
        </is>
      </c>
      <c r="I94" s="5" t="inlineStr">
        <is>
          <t>dependent, homemaker</t>
        </is>
      </c>
      <c r="J94" s="5" t="inlineStr">
        <is>
          <t>sole breadwinner, main breadwinner, act as breadwinner</t>
        </is>
      </c>
      <c r="K94" s="5" t="inlineStr">
        <is>
          <t>Bread (bánh mì) + winner.</t>
        </is>
      </c>
      <c r="L94" s="6" t="inlineStr">
        <is>
          <t>Đã thuộc</t>
        </is>
      </c>
    </row>
    <row r="95" ht="42" customHeight="1">
      <c r="A95" s="7" t="inlineStr">
        <is>
          <t>Society &amp; Family</t>
        </is>
      </c>
      <c r="B95" s="8" t="inlineStr">
        <is>
          <t>generation gap</t>
        </is>
      </c>
      <c r="C95" s="9" t="inlineStr">
        <is>
          <t>noun phrase</t>
        </is>
      </c>
      <c r="D95" s="7" t="inlineStr">
        <is>
          <t>/ˌdʒen.əˈreɪ.ʃən ɡæp/</t>
        </is>
      </c>
      <c r="E95" s="10" t="inlineStr">
        <is>
          <t>Khoảng cách thế hệ về suy nghĩ lối sống</t>
        </is>
      </c>
      <c r="F95" s="11" t="inlineStr">
        <is>
          <t>B1</t>
        </is>
      </c>
      <c r="G95" s="10" t="inlineStr">
        <is>
          <t>Open conversations at dinner help bridge the generation gap.</t>
        </is>
      </c>
      <c r="H95" s="10" t="inlineStr">
        <is>
          <t>age divide, generational difference</t>
        </is>
      </c>
      <c r="I95" s="10" t="inlineStr">
        <is>
          <t>generational harmony</t>
        </is>
      </c>
      <c r="J95" s="10" t="inlineStr">
        <is>
          <t>bridge the generation gap, narrow generation gap</t>
        </is>
      </c>
      <c r="K95" s="10" t="inlineStr">
        <is>
          <t>Cụm: bridge / narrow the gap.</t>
        </is>
      </c>
      <c r="L95" s="11" t="inlineStr">
        <is>
          <t>Đã thuộc</t>
        </is>
      </c>
    </row>
    <row r="96" ht="42" customHeight="1">
      <c r="A96" s="2" t="inlineStr">
        <is>
          <t>Society &amp; Family</t>
        </is>
      </c>
      <c r="B96" s="3" t="inlineStr">
        <is>
          <t>sibling</t>
        </is>
      </c>
      <c r="C96" s="4" t="inlineStr">
        <is>
          <t>noun</t>
        </is>
      </c>
      <c r="D96" s="2" t="inlineStr">
        <is>
          <t>/ˈsɪb.lɪŋ/</t>
        </is>
      </c>
      <c r="E96" s="5" t="inlineStr">
        <is>
          <t>Anh chị em ruột trong một nhà</t>
        </is>
      </c>
      <c r="F96" s="6" t="inlineStr">
        <is>
          <t>A2</t>
        </is>
      </c>
      <c r="G96" s="5" t="inlineStr">
        <is>
          <t>Children who grow up with siblings learn to share and resolve conflicts.</t>
        </is>
      </c>
      <c r="H96" s="5" t="inlineStr">
        <is>
          <t>brother, sister</t>
        </is>
      </c>
      <c r="I96" s="5" t="inlineStr">
        <is>
          <t>only child</t>
        </is>
      </c>
      <c r="J96" s="5" t="inlineStr">
        <is>
          <t>sibling rivalry, older sibling, younger sibling</t>
        </is>
      </c>
      <c r="K96" s="5" t="inlineStr">
        <is>
          <t>Sibling rivalry = sự ganh đua anh em.</t>
        </is>
      </c>
      <c r="L96" s="6" t="inlineStr">
        <is>
          <t>Đã thuộc</t>
        </is>
      </c>
    </row>
    <row r="97" ht="42" customHeight="1">
      <c r="A97" s="7" t="inlineStr">
        <is>
          <t>Society &amp; Family</t>
        </is>
      </c>
      <c r="B97" s="8" t="inlineStr">
        <is>
          <t>upbringing</t>
        </is>
      </c>
      <c r="C97" s="9" t="inlineStr">
        <is>
          <t>noun</t>
        </is>
      </c>
      <c r="D97" s="7" t="inlineStr">
        <is>
          <t>/ˈʌpˌbrɪŋ.ɪŋ/</t>
        </is>
      </c>
      <c r="E97" s="10" t="inlineStr">
        <is>
          <t>Sự nuôi nấng dạy dỗ từ nhỏ của cha mẹ</t>
        </is>
      </c>
      <c r="F97" s="11" t="inlineStr">
        <is>
          <t>B2</t>
        </is>
      </c>
      <c r="G97" s="10" t="inlineStr">
        <is>
          <t>A strict religious upbringing shaped his strong moral values in life.</t>
        </is>
      </c>
      <c r="H97" s="10" t="inlineStr">
        <is>
          <t>rearing, parenting, childhood nurture</t>
        </is>
      </c>
      <c r="I97" s="10" t="inlineStr">
        <is>
          <t>neglect, abandonment</t>
        </is>
      </c>
      <c r="J97" s="10" t="inlineStr">
        <is>
          <t>strict upbringing, happy upbringing, quality of upbringing</t>
        </is>
      </c>
      <c r="K97" s="10" t="inlineStr">
        <is>
          <t>Động từ: bring up children.</t>
        </is>
      </c>
      <c r="L97" s="11" t="inlineStr">
        <is>
          <t>Đang học</t>
        </is>
      </c>
    </row>
    <row r="98" ht="42" customHeight="1">
      <c r="A98" s="2" t="inlineStr">
        <is>
          <t>Society &amp; Family</t>
        </is>
      </c>
      <c r="B98" s="3" t="inlineStr">
        <is>
          <t>demographic</t>
        </is>
      </c>
      <c r="C98" s="4" t="inlineStr">
        <is>
          <t>adjective/noun</t>
        </is>
      </c>
      <c r="D98" s="2" t="inlineStr">
        <is>
          <t>/ˌdem.əˈɡræf.ɪk/</t>
        </is>
      </c>
      <c r="E98" s="5" t="inlineStr">
        <is>
          <t>Thuộc nhân khẩu học / Số liệu dân cư</t>
        </is>
      </c>
      <c r="F98" s="6" t="inlineStr">
        <is>
          <t>B2</t>
        </is>
      </c>
      <c r="G98" s="5" t="inlineStr">
        <is>
          <t>The demographic shift toward an aging population strains pension funds.</t>
        </is>
      </c>
      <c r="H98" s="5" t="inlineStr">
        <is>
          <t>population-related, census-based</t>
        </is>
      </c>
      <c r="I98" s="5" t="inlineStr">
        <is>
          <t>N/A</t>
        </is>
      </c>
      <c r="J98" s="5" t="inlineStr">
        <is>
          <t>demographic shift, demographic trends, demographic group</t>
        </is>
      </c>
      <c r="K98" s="5" t="inlineStr">
        <is>
          <t>Danh từ số nhiều: demographics.</t>
        </is>
      </c>
      <c r="L98" s="6" t="inlineStr">
        <is>
          <t>Đang học</t>
        </is>
      </c>
    </row>
    <row r="99" ht="42" customHeight="1">
      <c r="A99" s="7" t="inlineStr">
        <is>
          <t>Society &amp; Family</t>
        </is>
      </c>
      <c r="B99" s="8" t="inlineStr">
        <is>
          <t>conflict</t>
        </is>
      </c>
      <c r="C99" s="9" t="inlineStr">
        <is>
          <t>noun/verb</t>
        </is>
      </c>
      <c r="D99" s="7" t="inlineStr">
        <is>
          <t>/ˈkɒn.flɪkt/</t>
        </is>
      </c>
      <c r="E99" s="10" t="inlineStr">
        <is>
          <t>Mâu thuẫn xung đột / Xảy ra xung đột</t>
        </is>
      </c>
      <c r="F99" s="11" t="inlineStr">
        <is>
          <t>B1</t>
        </is>
      </c>
      <c r="G99" s="10" t="inlineStr">
        <is>
          <t>Differences in career expectations often generate family conflicts.</t>
        </is>
      </c>
      <c r="H99" s="10" t="inlineStr">
        <is>
          <t>dispute, discord, clash, disagreement</t>
        </is>
      </c>
      <c r="I99" s="10" t="inlineStr">
        <is>
          <t>harmony, peace, agreement</t>
        </is>
      </c>
      <c r="J99" s="10" t="inlineStr">
        <is>
          <t>resolve a conflict, family conflict, avoid conflict</t>
        </is>
      </c>
      <c r="K99" s="10" t="inlineStr">
        <is>
          <t>Danh từ âm 1, động từ âm 2.</t>
        </is>
      </c>
      <c r="L99" s="11" t="inlineStr">
        <is>
          <t>Đã thuộc</t>
        </is>
      </c>
    </row>
    <row r="100" ht="42" customHeight="1">
      <c r="A100" s="2" t="inlineStr">
        <is>
          <t>Society &amp; Family</t>
        </is>
      </c>
      <c r="B100" s="3" t="inlineStr">
        <is>
          <t>empathy</t>
        </is>
      </c>
      <c r="C100" s="4" t="inlineStr">
        <is>
          <t>noun</t>
        </is>
      </c>
      <c r="D100" s="2" t="inlineStr">
        <is>
          <t>/ˈem.pə.θi/</t>
        </is>
      </c>
      <c r="E100" s="5" t="inlineStr">
        <is>
          <t>Sự thấu cảm, đặt mình vào vị trí người khác</t>
        </is>
      </c>
      <c r="F100" s="6" t="inlineStr">
        <is>
          <t>B2</t>
        </is>
      </c>
      <c r="G100" s="5" t="inlineStr">
        <is>
          <t>Practicing empathy helps friends resolve misunderstandings peacefully.</t>
        </is>
      </c>
      <c r="H100" s="5" t="inlineStr">
        <is>
          <t>compassion, emotional understanding</t>
        </is>
      </c>
      <c r="I100" s="5" t="inlineStr">
        <is>
          <t>apathy, indifference, coldness</t>
        </is>
      </c>
      <c r="J100" s="5" t="inlineStr">
        <is>
          <t>show empathy, feel empathy for, cultivate empathy</t>
        </is>
      </c>
      <c r="K100" s="5" t="inlineStr">
        <is>
          <t>Tính từ: empathetic.</t>
        </is>
      </c>
      <c r="L100" s="6" t="inlineStr">
        <is>
          <t>Đã thuộc</t>
        </is>
      </c>
    </row>
    <row r="101" ht="42" customHeight="1">
      <c r="A101" s="7" t="inlineStr">
        <is>
          <t>Society &amp; Family</t>
        </is>
      </c>
      <c r="B101" s="8" t="inlineStr">
        <is>
          <t>homemaker</t>
        </is>
      </c>
      <c r="C101" s="9" t="inlineStr">
        <is>
          <t>noun</t>
        </is>
      </c>
      <c r="D101" s="7" t="inlineStr">
        <is>
          <t>/ˈhəʊmˌmeɪ.kər/</t>
        </is>
      </c>
      <c r="E101" s="10" t="inlineStr">
        <is>
          <t>Người nội trợ quán xuyến việc nhà</t>
        </is>
      </c>
      <c r="F101" s="11" t="inlineStr">
        <is>
          <t>B1</t>
        </is>
      </c>
      <c r="G101" s="10" t="inlineStr">
        <is>
          <t>Being a full-time homemaker involves budgeting and looking after kids.</t>
        </is>
      </c>
      <c r="H101" s="10" t="inlineStr">
        <is>
          <t>housewife, househusband, caregiver</t>
        </is>
      </c>
      <c r="I101" s="10" t="inlineStr">
        <is>
          <t>breadwinner, career person</t>
        </is>
      </c>
      <c r="J101" s="10" t="inlineStr">
        <is>
          <t>full-time homemaker, skilled homemaker, work as homemaker</t>
        </is>
      </c>
      <c r="K101" s="10" t="inlineStr">
        <is>
          <t>Từ trung tính giới hiện đại.</t>
        </is>
      </c>
      <c r="L101" s="11" t="inlineStr">
        <is>
          <t>Đã thuộc</t>
        </is>
      </c>
    </row>
    <row r="102" ht="42" customHeight="1">
      <c r="A102" s="2" t="inlineStr">
        <is>
          <t>Society &amp; Family</t>
        </is>
      </c>
      <c r="B102" s="3" t="inlineStr">
        <is>
          <t>marginalize</t>
        </is>
      </c>
      <c r="C102" s="4" t="inlineStr">
        <is>
          <t>verb</t>
        </is>
      </c>
      <c r="D102" s="2" t="inlineStr">
        <is>
          <t>/ˈmɑː.dʒɪ.nəl.aɪz/</t>
        </is>
      </c>
      <c r="E102" s="5" t="inlineStr">
        <is>
          <t>Gạt ra bên lề xã hội, biến thành nhóm yếu thế</t>
        </is>
      </c>
      <c r="F102" s="6" t="inlineStr">
        <is>
          <t>B2</t>
        </is>
      </c>
      <c r="G102" s="5" t="inlineStr">
        <is>
          <t>Social welfare ensures that disabled people are not marginalized.</t>
        </is>
      </c>
      <c r="H102" s="5" t="inlineStr">
        <is>
          <t>sidelined, isolate, exclude</t>
        </is>
      </c>
      <c r="I102" s="5" t="inlineStr">
        <is>
          <t>integrate, include, empower</t>
        </is>
      </c>
      <c r="J102" s="5" t="inlineStr">
        <is>
          <t>marginalized groups, marginalized communities</t>
        </is>
      </c>
      <c r="K102" s="5" t="inlineStr">
        <is>
          <t>Tính từ: marginalized.</t>
        </is>
      </c>
      <c r="L102" s="6" t="inlineStr">
        <is>
          <t>Đang học</t>
        </is>
      </c>
    </row>
    <row r="103" ht="42" customHeight="1">
      <c r="A103" s="7" t="inlineStr">
        <is>
          <t>Society &amp; Family</t>
        </is>
      </c>
      <c r="B103" s="8" t="inlineStr">
        <is>
          <t>peer pressure</t>
        </is>
      </c>
      <c r="C103" s="9" t="inlineStr">
        <is>
          <t>noun phrase</t>
        </is>
      </c>
      <c r="D103" s="7" t="inlineStr">
        <is>
          <t>/ˈpɪə ˌpreʃ.ər/</t>
        </is>
      </c>
      <c r="E103" s="10" t="inlineStr">
        <is>
          <t>Áp lực từ bạn bè cùng trang lứa</t>
        </is>
      </c>
      <c r="F103" s="11" t="inlineStr">
        <is>
          <t>B1</t>
        </is>
      </c>
      <c r="G103" s="10" t="inlineStr">
        <is>
          <t>Teens should learn to say no when facing negative peer pressure.</t>
        </is>
      </c>
      <c r="H103" s="10" t="inlineStr">
        <is>
          <t>social influence, classmate pressure</t>
        </is>
      </c>
      <c r="I103" s="10" t="inlineStr">
        <is>
          <t>self-reliance, independent judgment</t>
        </is>
      </c>
      <c r="J103" s="10" t="inlineStr">
        <is>
          <t>succumb to peer pressure, resist peer pressure</t>
        </is>
      </c>
      <c r="K103" s="10" t="inlineStr">
        <is>
          <t>Cụm: resist / succumb to pressure.</t>
        </is>
      </c>
      <c r="L103" s="11" t="inlineStr">
        <is>
          <t>Đã thuộc</t>
        </is>
      </c>
    </row>
    <row r="104" ht="42" customHeight="1">
      <c r="A104" s="2" t="inlineStr">
        <is>
          <t>Society &amp; Family</t>
        </is>
      </c>
      <c r="B104" s="3" t="inlineStr">
        <is>
          <t>inequality</t>
        </is>
      </c>
      <c r="C104" s="4" t="inlineStr">
        <is>
          <t>noun</t>
        </is>
      </c>
      <c r="D104" s="2" t="inlineStr">
        <is>
          <t>/ˌɪn.ɪˈkwɒl.ə.ti/</t>
        </is>
      </c>
      <c r="E104" s="5" t="inlineStr">
        <is>
          <t>Sự bất bình đẳng thu nhập, cơ hội</t>
        </is>
      </c>
      <c r="F104" s="6" t="inlineStr">
        <is>
          <t>B2</t>
        </is>
      </c>
      <c r="G104" s="5" t="inlineStr">
        <is>
          <t>Education is the most powerful tool to reduce wealth inequality.</t>
        </is>
      </c>
      <c r="H104" s="5" t="inlineStr">
        <is>
          <t>disparity, imbalance, unfairness</t>
        </is>
      </c>
      <c r="I104" s="5" t="inlineStr">
        <is>
          <t>equality, fairness, parity</t>
        </is>
      </c>
      <c r="J104" s="5" t="inlineStr">
        <is>
          <t>income inequality, gender inequality, reduce inequality</t>
        </is>
      </c>
      <c r="K104" s="5" t="inlineStr">
        <is>
          <t>In- (không) + equality.</t>
        </is>
      </c>
      <c r="L104" s="6" t="inlineStr">
        <is>
          <t>Đang học</t>
        </is>
      </c>
    </row>
    <row r="105" ht="42" customHeight="1">
      <c r="A105" s="7" t="inlineStr">
        <is>
          <t>Society &amp; Family</t>
        </is>
      </c>
      <c r="B105" s="8" t="inlineStr">
        <is>
          <t>cohesion</t>
        </is>
      </c>
      <c r="C105" s="9" t="inlineStr">
        <is>
          <t>noun</t>
        </is>
      </c>
      <c r="D105" s="7" t="inlineStr">
        <is>
          <t>/kəʊˈhiː.ʒən/</t>
        </is>
      </c>
      <c r="E105" s="10" t="inlineStr">
        <is>
          <t>Sự gắn kết, tinh thần đoàn kết cộng đồng</t>
        </is>
      </c>
      <c r="F105" s="11" t="inlineStr">
        <is>
          <t>B2</t>
        </is>
      </c>
      <c r="G105" s="10" t="inlineStr">
        <is>
          <t>Community sports events foster social cohesion and neighborly bonds.</t>
        </is>
      </c>
      <c r="H105" s="10" t="inlineStr">
        <is>
          <t>unity, solidarity, harmony</t>
        </is>
      </c>
      <c r="I105" s="10" t="inlineStr">
        <is>
          <t>division, discord, fragmentation</t>
        </is>
      </c>
      <c r="J105" s="10" t="inlineStr">
        <is>
          <t>social cohesion, community cohesion, promote cohesion</t>
        </is>
      </c>
      <c r="K105" s="10" t="inlineStr">
        <is>
          <t>Tính từ: cohesive.</t>
        </is>
      </c>
      <c r="L105" s="11" t="inlineStr">
        <is>
          <t>Đang học</t>
        </is>
      </c>
    </row>
    <row r="106" ht="42" customHeight="1">
      <c r="A106" s="2" t="inlineStr">
        <is>
          <t>Society &amp; Family</t>
        </is>
      </c>
      <c r="B106" s="3" t="inlineStr">
        <is>
          <t>mentor</t>
        </is>
      </c>
      <c r="C106" s="4" t="inlineStr">
        <is>
          <t>noun/verb</t>
        </is>
      </c>
      <c r="D106" s="2" t="inlineStr">
        <is>
          <t>/ˈmen.tɔːr/</t>
        </is>
      </c>
      <c r="E106" s="5" t="inlineStr">
        <is>
          <t>Người cố vấn giàu kinh nghiệm / Hướng dẫn</t>
        </is>
      </c>
      <c r="F106" s="6" t="inlineStr">
        <is>
          <t>B1</t>
        </is>
      </c>
      <c r="G106" s="5" t="inlineStr">
        <is>
          <t>A seasoned mentor can offer invaluable career advice to graduates.</t>
        </is>
      </c>
      <c r="H106" s="5" t="inlineStr">
        <is>
          <t>advisor, guide, tutor, counselor</t>
        </is>
      </c>
      <c r="I106" s="5" t="inlineStr">
        <is>
          <t>mentee, novice, apprentice</t>
        </is>
      </c>
      <c r="J106" s="5" t="inlineStr">
        <is>
          <t>career mentor, find a mentor, mentor students</t>
        </is>
      </c>
      <c r="K106" s="5" t="inlineStr">
        <is>
          <t>Người được hướng dẫn: mentee.</t>
        </is>
      </c>
      <c r="L106" s="6" t="inlineStr">
        <is>
          <t>Đã thuộc</t>
        </is>
      </c>
    </row>
    <row r="107" ht="42" customHeight="1">
      <c r="A107" s="7" t="inlineStr">
        <is>
          <t>Society &amp; Family</t>
        </is>
      </c>
      <c r="B107" s="8" t="inlineStr">
        <is>
          <t>infancy</t>
        </is>
      </c>
      <c r="C107" s="9" t="inlineStr">
        <is>
          <t>noun</t>
        </is>
      </c>
      <c r="D107" s="7" t="inlineStr">
        <is>
          <t>/ˈɪn.fən.si/</t>
        </is>
      </c>
      <c r="E107" s="10" t="inlineStr">
        <is>
          <t>Thời kỳ sơ sinh / Giai đoạn mới bắt đầu trứng nước</t>
        </is>
      </c>
      <c r="F107" s="11" t="inlineStr">
        <is>
          <t>B2</t>
        </is>
      </c>
      <c r="G107" s="10" t="inlineStr">
        <is>
          <t>Adequate nutrition during infancy is critical for healthy brain growth.</t>
        </is>
      </c>
      <c r="H107" s="10" t="inlineStr">
        <is>
          <t>babyhood, early childhood; inception</t>
        </is>
      </c>
      <c r="I107" s="10" t="inlineStr">
        <is>
          <t>adulthood, maturity</t>
        </is>
      </c>
      <c r="J107" s="10" t="inlineStr">
        <is>
          <t>in its infancy, early infancy, survive infancy</t>
        </is>
      </c>
      <c r="K107" s="10" t="inlineStr">
        <is>
          <t>Nghĩa bóng: 'in its infancy' = mới manh nha.</t>
        </is>
      </c>
      <c r="L107" s="11" t="inlineStr">
        <is>
          <t>Đang học</t>
        </is>
      </c>
    </row>
    <row r="108" ht="42" customHeight="1">
      <c r="A108" s="2" t="inlineStr">
        <is>
          <t>Society &amp; Family</t>
        </is>
      </c>
      <c r="B108" s="3" t="inlineStr">
        <is>
          <t>adopt</t>
        </is>
      </c>
      <c r="C108" s="4" t="inlineStr">
        <is>
          <t>verb</t>
        </is>
      </c>
      <c r="D108" s="2" t="inlineStr">
        <is>
          <t>/əˈdɒpt/</t>
        </is>
      </c>
      <c r="E108" s="5" t="inlineStr">
        <is>
          <t>Nhận con nuôi / Áp dụng thói quen chính sách mới</t>
        </is>
      </c>
      <c r="F108" s="6" t="inlineStr">
        <is>
          <t>B1</t>
        </is>
      </c>
      <c r="G108" s="5" t="inlineStr">
        <is>
          <t>The couple decided to adopt a baby girl from a local orphanage.</t>
        </is>
      </c>
      <c r="H108" s="5" t="inlineStr">
        <is>
          <t>foster, take in; embrace, implement</t>
        </is>
      </c>
      <c r="I108" s="5" t="inlineStr">
        <is>
          <t>abandon, reject</t>
        </is>
      </c>
      <c r="J108" s="5" t="inlineStr">
        <is>
          <t>adopt a child, adopt a lifestyle, adopt a policy</t>
        </is>
      </c>
      <c r="K108" s="5" t="inlineStr">
        <is>
          <t>Khác với adapt (thích nghi).</t>
        </is>
      </c>
      <c r="L108" s="6" t="inlineStr">
        <is>
          <t>Đã thuộc</t>
        </is>
      </c>
    </row>
    <row r="109" ht="42" customHeight="1">
      <c r="A109" s="7" t="inlineStr">
        <is>
          <t>Society &amp; Family</t>
        </is>
      </c>
      <c r="B109" s="8" t="inlineStr">
        <is>
          <t>custody</t>
        </is>
      </c>
      <c r="C109" s="9" t="inlineStr">
        <is>
          <t>noun</t>
        </is>
      </c>
      <c r="D109" s="7" t="inlineStr">
        <is>
          <t>/ˈkʌs.tə.di/</t>
        </is>
      </c>
      <c r="E109" s="10" t="inlineStr">
        <is>
          <t>Quyền nuôi con giám hộ sau ly hôn</t>
        </is>
      </c>
      <c r="F109" s="11" t="inlineStr">
        <is>
          <t>B2</t>
        </is>
      </c>
      <c r="G109" s="10" t="inlineStr">
        <is>
          <t>After divorce, the court granted joint custody of the two children.</t>
        </is>
      </c>
      <c r="H109" s="10" t="inlineStr">
        <is>
          <t>guardianship, protective care</t>
        </is>
      </c>
      <c r="I109" s="10" t="inlineStr">
        <is>
          <t>release, freedom</t>
        </is>
      </c>
      <c r="J109" s="10" t="inlineStr">
        <is>
          <t>joint custody, grant custody, child custody</t>
        </is>
      </c>
      <c r="K109" s="10" t="inlineStr">
        <is>
          <t>Joint custody = quyền nuôi con chung.</t>
        </is>
      </c>
      <c r="L109" s="11" t="inlineStr">
        <is>
          <t>Cần ôn lại</t>
        </is>
      </c>
    </row>
    <row r="110" ht="42" customHeight="1">
      <c r="A110" s="2" t="inlineStr">
        <is>
          <t>Travel &amp; Transport</t>
        </is>
      </c>
      <c r="B110" s="3" t="inlineStr">
        <is>
          <t>ecotourism</t>
        </is>
      </c>
      <c r="C110" s="4" t="inlineStr">
        <is>
          <t>noun</t>
        </is>
      </c>
      <c r="D110" s="2" t="inlineStr">
        <is>
          <t>/ˈiː.kəʊˌtʊə.rɪ.zəm/</t>
        </is>
      </c>
      <c r="E110" s="5" t="inlineStr">
        <is>
          <t>Du lịch sinh thái bảo vệ môi trường</t>
        </is>
      </c>
      <c r="F110" s="6" t="inlineStr">
        <is>
          <t>B1</t>
        </is>
      </c>
      <c r="G110" s="5" t="inlineStr">
        <is>
          <t>Developing ecotourism provides local villagers with income.</t>
        </is>
      </c>
      <c r="H110" s="5" t="inlineStr">
        <is>
          <t>green tourism, sustainable travel</t>
        </is>
      </c>
      <c r="I110" s="5" t="inlineStr">
        <is>
          <t>mass tourism, commercial travel</t>
        </is>
      </c>
      <c r="J110" s="5" t="inlineStr">
        <is>
          <t>promote ecotourism, ecotourism destination, ecotourism project</t>
        </is>
      </c>
      <c r="K110" s="5" t="inlineStr">
        <is>
          <t>Ecology + tourism.</t>
        </is>
      </c>
      <c r="L110" s="6" t="inlineStr">
        <is>
          <t>Đã thuộc</t>
        </is>
      </c>
    </row>
    <row r="111" ht="42" customHeight="1">
      <c r="A111" s="7" t="inlineStr">
        <is>
          <t>Travel &amp; Transport</t>
        </is>
      </c>
      <c r="B111" s="8" t="inlineStr">
        <is>
          <t>congestion</t>
        </is>
      </c>
      <c r="C111" s="9" t="inlineStr">
        <is>
          <t>noun</t>
        </is>
      </c>
      <c r="D111" s="7" t="inlineStr">
        <is>
          <t>/kənˈdʒes.tʃən/</t>
        </is>
      </c>
      <c r="E111" s="10" t="inlineStr">
        <is>
          <t>Sự ùn tắc giao thông nghiêm trọng</t>
        </is>
      </c>
      <c r="F111" s="11" t="inlineStr">
        <is>
          <t>B1</t>
        </is>
      </c>
      <c r="G111" s="10" t="inlineStr">
        <is>
          <t>Building an underground metro helps ease traffic congestion.</t>
        </is>
      </c>
      <c r="H111" s="10" t="inlineStr">
        <is>
          <t>traffic jam, gridlock, bottleneck</t>
        </is>
      </c>
      <c r="I111" s="10" t="inlineStr">
        <is>
          <t>clear flow, free movement</t>
        </is>
      </c>
      <c r="J111" s="10" t="inlineStr">
        <is>
          <t>traffic congestion, ease congestion, severe congestion</t>
        </is>
      </c>
      <c r="K111" s="10" t="inlineStr">
        <is>
          <t>Tính từ: congested streets.</t>
        </is>
      </c>
      <c r="L111" s="11" t="inlineStr">
        <is>
          <t>Đã thuộc</t>
        </is>
      </c>
    </row>
    <row r="112" ht="42" customHeight="1">
      <c r="A112" s="2" t="inlineStr">
        <is>
          <t>Travel &amp; Transport</t>
        </is>
      </c>
      <c r="B112" s="3" t="inlineStr">
        <is>
          <t>itinerary</t>
        </is>
      </c>
      <c r="C112" s="4" t="inlineStr">
        <is>
          <t>noun</t>
        </is>
      </c>
      <c r="D112" s="2" t="inlineStr">
        <is>
          <t>/aɪˈtɪn.ər.ər.i/</t>
        </is>
      </c>
      <c r="E112" s="5" t="inlineStr">
        <is>
          <t>Lịch trình chi tiết chuyến đi du lịch</t>
        </is>
      </c>
      <c r="F112" s="6" t="inlineStr">
        <is>
          <t>B1</t>
        </is>
      </c>
      <c r="G112" s="5" t="inlineStr">
        <is>
          <t>The travel agency provided a seven-day itinerary covering central Vietnam.</t>
        </is>
      </c>
      <c r="H112" s="5" t="inlineStr">
        <is>
          <t>travel schedule, tour plan, route</t>
        </is>
      </c>
      <c r="I112" s="5" t="inlineStr">
        <is>
          <t>N/A</t>
        </is>
      </c>
      <c r="J112" s="5" t="inlineStr">
        <is>
          <t>travel itinerary, detailed itinerary, plan an itinerary</t>
        </is>
      </c>
      <c r="K112" s="5" t="inlineStr">
        <is>
          <t>Trọng âm 2: ai-TIN-er-a-ry.</t>
        </is>
      </c>
      <c r="L112" s="6" t="inlineStr">
        <is>
          <t>Đang học</t>
        </is>
      </c>
    </row>
    <row r="113" ht="42" customHeight="1">
      <c r="A113" s="7" t="inlineStr">
        <is>
          <t>Travel &amp; Transport</t>
        </is>
      </c>
      <c r="B113" s="8" t="inlineStr">
        <is>
          <t>destination</t>
        </is>
      </c>
      <c r="C113" s="9" t="inlineStr">
        <is>
          <t>noun</t>
        </is>
      </c>
      <c r="D113" s="7" t="inlineStr">
        <is>
          <t>/ˌdes.tɪˈneɪ.ʃən/</t>
        </is>
      </c>
      <c r="E113" s="10" t="inlineStr">
        <is>
          <t>Điểm đến trong chuyến hành trình</t>
        </is>
      </c>
      <c r="F113" s="11" t="inlineStr">
        <is>
          <t>A2</t>
        </is>
      </c>
      <c r="G113" s="10" t="inlineStr">
        <is>
          <t>Phu Quoc Island is a popular beach destination for travelers.</t>
        </is>
      </c>
      <c r="H113" s="10" t="inlineStr">
        <is>
          <t>arrival point, holiday spot, resort</t>
        </is>
      </c>
      <c r="I113" s="10" t="inlineStr">
        <is>
          <t>point of departure, origin</t>
        </is>
      </c>
      <c r="J113" s="10" t="inlineStr">
        <is>
          <t>tourist destination, holiday destination, popular destination</t>
        </is>
      </c>
      <c r="K113" s="10" t="inlineStr">
        <is>
          <t>Trọng âm 3: des-ti-NA-tion.</t>
        </is>
      </c>
      <c r="L113" s="11" t="inlineStr">
        <is>
          <t>Đã thuộc</t>
        </is>
      </c>
    </row>
    <row r="114" ht="42" customHeight="1">
      <c r="A114" s="2" t="inlineStr">
        <is>
          <t>Travel &amp; Transport</t>
        </is>
      </c>
      <c r="B114" s="3" t="inlineStr">
        <is>
          <t>hospitality</t>
        </is>
      </c>
      <c r="C114" s="4" t="inlineStr">
        <is>
          <t>noun</t>
        </is>
      </c>
      <c r="D114" s="2" t="inlineStr">
        <is>
          <t>/ˌhɒs.pɪˈtæl.ə.ti/</t>
        </is>
      </c>
      <c r="E114" s="5" t="inlineStr">
        <is>
          <t>Lòng hiếu khách / Ngành dịch vụ khách sạn</t>
        </is>
      </c>
      <c r="F114" s="6" t="inlineStr">
        <is>
          <t>B1</t>
        </is>
      </c>
      <c r="G114" s="5" t="inlineStr">
        <is>
          <t>Foreign backpackers often praise the warmth and hospitality of locals.</t>
        </is>
      </c>
      <c r="H114" s="5" t="inlineStr">
        <is>
          <t>friendliness, warm welcome, accommodation industry</t>
        </is>
      </c>
      <c r="I114" s="5" t="inlineStr">
        <is>
          <t>inhospitality, coldness</t>
        </is>
      </c>
      <c r="J114" s="5" t="inlineStr">
        <is>
          <t>warm hospitality, famous for hospitality, hospitality industry</t>
        </is>
      </c>
      <c r="K114" s="5" t="inlineStr">
        <is>
          <t>Tính từ: hospitable /hɒsˈpɪt.ə.bəl/.</t>
        </is>
      </c>
      <c r="L114" s="6" t="inlineStr">
        <is>
          <t>Đã thuộc</t>
        </is>
      </c>
    </row>
    <row r="115" ht="42" customHeight="1">
      <c r="A115" s="7" t="inlineStr">
        <is>
          <t>Travel &amp; Transport</t>
        </is>
      </c>
      <c r="B115" s="8" t="inlineStr">
        <is>
          <t>exotic</t>
        </is>
      </c>
      <c r="C115" s="9" t="inlineStr">
        <is>
          <t>adjective</t>
        </is>
      </c>
      <c r="D115" s="7" t="inlineStr">
        <is>
          <t>/ɪɡˈzɒt.ɪk/</t>
        </is>
      </c>
      <c r="E115" s="10" t="inlineStr">
        <is>
          <t>Kỳ lạ, độc đáo từ xứ sở xa xôi</t>
        </is>
      </c>
      <c r="F115" s="11" t="inlineStr">
        <is>
          <t>B2</t>
        </is>
      </c>
      <c r="G115" s="10" t="inlineStr">
        <is>
          <t>Travelers love sampling exotic tropical fruits like mangosteen.</t>
        </is>
      </c>
      <c r="H115" s="10" t="inlineStr">
        <is>
          <t>unusual, foreign, striking, alluring</t>
        </is>
      </c>
      <c r="I115" s="10" t="inlineStr">
        <is>
          <t>ordinary, familiar, native</t>
        </is>
      </c>
      <c r="J115" s="10" t="inlineStr">
        <is>
          <t>exotic location, exotic wildlife, exotic food</t>
        </is>
      </c>
      <c r="K115" s="10" t="inlineStr">
        <is>
          <t>Trọng âm 2: ig-ZOT-ic.</t>
        </is>
      </c>
      <c r="L115" s="11" t="inlineStr">
        <is>
          <t>Đang học</t>
        </is>
      </c>
    </row>
    <row r="116" ht="42" customHeight="1">
      <c r="A116" s="2" t="inlineStr">
        <is>
          <t>Travel &amp; Transport</t>
        </is>
      </c>
      <c r="B116" s="3" t="inlineStr">
        <is>
          <t>commuter</t>
        </is>
      </c>
      <c r="C116" s="4" t="inlineStr">
        <is>
          <t>noun</t>
        </is>
      </c>
      <c r="D116" s="2" t="inlineStr">
        <is>
          <t>/kəˈmjuː.tər/</t>
        </is>
      </c>
      <c r="E116" s="5" t="inlineStr">
        <is>
          <t>Người đi lại hàng ngày giữa nhà và chỗ làm</t>
        </is>
      </c>
      <c r="F116" s="6" t="inlineStr">
        <is>
          <t>B1</t>
        </is>
      </c>
      <c r="G116" s="5" t="inlineStr">
        <is>
          <t>Thousands of commuters pack onto the light rail during rush hours.</t>
        </is>
      </c>
      <c r="H116" s="5" t="inlineStr">
        <is>
          <t>daily traveler, suburban passenger</t>
        </is>
      </c>
      <c r="I116" s="5" t="inlineStr">
        <is>
          <t>resident worker</t>
        </is>
      </c>
      <c r="J116" s="5" t="inlineStr">
        <is>
          <t>daily commuter, commuter train, rush-hour commuters</t>
        </is>
      </c>
      <c r="K116" s="5" t="inlineStr">
        <is>
          <t>Động từ: commute.</t>
        </is>
      </c>
      <c r="L116" s="6" t="inlineStr">
        <is>
          <t>Đã thuộc</t>
        </is>
      </c>
    </row>
    <row r="117" ht="42" customHeight="1">
      <c r="A117" s="7" t="inlineStr">
        <is>
          <t>Travel &amp; Transport</t>
        </is>
      </c>
      <c r="B117" s="8" t="inlineStr">
        <is>
          <t>pedestrian</t>
        </is>
      </c>
      <c r="C117" s="9" t="inlineStr">
        <is>
          <t>noun/adjective</t>
        </is>
      </c>
      <c r="D117" s="7" t="inlineStr">
        <is>
          <t>/pəˈdes.tri.ən/</t>
        </is>
      </c>
      <c r="E117" s="10" t="inlineStr">
        <is>
          <t>Người đi bộ / Dành cho người đi bộ</t>
        </is>
      </c>
      <c r="F117" s="11" t="inlineStr">
        <is>
          <t>B1</t>
        </is>
      </c>
      <c r="G117" s="10" t="inlineStr">
        <is>
          <t>Walking streets create safe zones exclusively for pedestrians.</t>
        </is>
      </c>
      <c r="H117" s="10" t="inlineStr">
        <is>
          <t>walker, foot passenger</t>
        </is>
      </c>
      <c r="I117" s="10" t="inlineStr">
        <is>
          <t>motorist, driver</t>
        </is>
      </c>
      <c r="J117" s="10" t="inlineStr">
        <is>
          <t>pedestrian zone, pedestrian crossing, pedestrian safety</t>
        </is>
      </c>
      <c r="K117" s="10" t="inlineStr">
        <is>
          <t>Pedestrian crossing = vạch qua đường.</t>
        </is>
      </c>
      <c r="L117" s="11" t="inlineStr">
        <is>
          <t>Đã thuộc</t>
        </is>
      </c>
    </row>
    <row r="118" ht="42" customHeight="1">
      <c r="A118" s="2" t="inlineStr">
        <is>
          <t>Travel &amp; Transport</t>
        </is>
      </c>
      <c r="B118" s="3" t="inlineStr">
        <is>
          <t>overtourism</t>
        </is>
      </c>
      <c r="C118" s="4" t="inlineStr">
        <is>
          <t>noun</t>
        </is>
      </c>
      <c r="D118" s="2" t="inlineStr">
        <is>
          <t>/ˌəʊ.vəˈtʊə.rɪ.zəm/</t>
        </is>
      </c>
      <c r="E118" s="5" t="inlineStr">
        <is>
          <t>Quá tải khách du lịch gây hại môi trường</t>
        </is>
      </c>
      <c r="F118" s="6" t="inlineStr">
        <is>
          <t>B2</t>
        </is>
      </c>
      <c r="G118" s="5" t="inlineStr">
        <is>
          <t>Ancient heritage towns struggle to cope with the effects of overtourism.</t>
        </is>
      </c>
      <c r="H118" s="5" t="inlineStr">
        <is>
          <t>tourist overcrowding, mass tourism influx</t>
        </is>
      </c>
      <c r="I118" s="5" t="inlineStr">
        <is>
          <t>sustainable tourism, low-impact travel</t>
        </is>
      </c>
      <c r="J118" s="5" t="inlineStr">
        <is>
          <t>suffer from overtourism, combat overtourism</t>
        </is>
      </c>
      <c r="K118" s="5" t="inlineStr">
        <is>
          <t>Chủ đề thời sự IELTS Task 2.</t>
        </is>
      </c>
      <c r="L118" s="6" t="inlineStr">
        <is>
          <t>Đang học</t>
        </is>
      </c>
    </row>
    <row r="119" ht="42" customHeight="1">
      <c r="A119" s="7" t="inlineStr">
        <is>
          <t>Travel &amp; Transport</t>
        </is>
      </c>
      <c r="B119" s="8" t="inlineStr">
        <is>
          <t>infrastructure</t>
        </is>
      </c>
      <c r="C119" s="9" t="inlineStr">
        <is>
          <t>noun</t>
        </is>
      </c>
      <c r="D119" s="7" t="inlineStr">
        <is>
          <t>/ˈɪn.frəˌstrʌk.tʃər/</t>
        </is>
      </c>
      <c r="E119" s="10" t="inlineStr">
        <is>
          <t>Cơ sở hạ tầng kỹ thuật (cầu đường, sân bay)</t>
        </is>
      </c>
      <c r="F119" s="11" t="inlineStr">
        <is>
          <t>B2</t>
        </is>
      </c>
      <c r="G119" s="10" t="inlineStr">
        <is>
          <t>Upgrading transport infrastructure is vital to facilitate regional trade.</t>
        </is>
      </c>
      <c r="H119" s="10" t="inlineStr">
        <is>
          <t>public facilities, basic framework</t>
        </is>
      </c>
      <c r="I119" s="10" t="inlineStr">
        <is>
          <t>superstructure</t>
        </is>
      </c>
      <c r="J119" s="10" t="inlineStr">
        <is>
          <t>transport infrastructure, modern infrastructure, invest in infrastructure</t>
        </is>
      </c>
      <c r="K119" s="10" t="inlineStr">
        <is>
          <t>Trọng âm 1. Danh từ không đếm được.</t>
        </is>
      </c>
      <c r="L119" s="11" t="inlineStr">
        <is>
          <t>Đã thuộc</t>
        </is>
      </c>
    </row>
    <row r="120" ht="42" customHeight="1">
      <c r="A120" s="2" t="inlineStr">
        <is>
          <t>Travel &amp; Transport</t>
        </is>
      </c>
      <c r="B120" s="3" t="inlineStr">
        <is>
          <t>pristine</t>
        </is>
      </c>
      <c r="C120" s="4" t="inlineStr">
        <is>
          <t>adjective</t>
        </is>
      </c>
      <c r="D120" s="2" t="inlineStr">
        <is>
          <t>/ˈprɪs.tiːn/</t>
        </is>
      </c>
      <c r="E120" s="5" t="inlineStr">
        <is>
          <t>Nguyên sơ, thuần khiết chưa bị ô nhiễm</t>
        </is>
      </c>
      <c r="F120" s="6" t="inlineStr">
        <is>
          <t>B2</t>
        </is>
      </c>
      <c r="G120" s="5" t="inlineStr">
        <is>
          <t>The archipelago is renowned for its pristine white beaches.</t>
        </is>
      </c>
      <c r="H120" s="5" t="inlineStr">
        <is>
          <t>unspoiled, untouched, immaculate, pure</t>
        </is>
      </c>
      <c r="I120" s="5" t="inlineStr">
        <is>
          <t>polluted, degraded, contaminated</t>
        </is>
      </c>
      <c r="J120" s="5" t="inlineStr">
        <is>
          <t>pristine beach, pristine rainforest, pristine wilderness</t>
        </is>
      </c>
      <c r="K120" s="5" t="inlineStr">
        <is>
          <t>Dùng thay cho clean / untouched.</t>
        </is>
      </c>
      <c r="L120" s="6" t="inlineStr">
        <is>
          <t>Đang học</t>
        </is>
      </c>
    </row>
    <row r="121" ht="42" customHeight="1">
      <c r="A121" s="7" t="inlineStr">
        <is>
          <t>Travel &amp; Transport</t>
        </is>
      </c>
      <c r="B121" s="8" t="inlineStr">
        <is>
          <t>souvenir</t>
        </is>
      </c>
      <c r="C121" s="9" t="inlineStr">
        <is>
          <t>noun</t>
        </is>
      </c>
      <c r="D121" s="7" t="inlineStr">
        <is>
          <t>/ˌsuː.vənˈɪər/</t>
        </is>
      </c>
      <c r="E121" s="10" t="inlineStr">
        <is>
          <t>Đồ lưu niệm mua khi đi du lịch</t>
        </is>
      </c>
      <c r="F121" s="11" t="inlineStr">
        <is>
          <t>A2</t>
        </is>
      </c>
      <c r="G121" s="10" t="inlineStr">
        <is>
          <t>She bought a conical hat as a souvenir from her trip to Hanoi.</t>
        </is>
      </c>
      <c r="H121" s="10" t="inlineStr">
        <is>
          <t>keepsake, memento, reminder, token</t>
        </is>
      </c>
      <c r="I121" s="10" t="inlineStr">
        <is>
          <t>N/A</t>
        </is>
      </c>
      <c r="J121" s="10" t="inlineStr">
        <is>
          <t>buy a souvenir, souvenir shop, keep as souvenir</t>
        </is>
      </c>
      <c r="K121" s="10" t="inlineStr">
        <is>
          <t>Từ mượn gốc Pháp.</t>
        </is>
      </c>
      <c r="L121" s="11" t="inlineStr">
        <is>
          <t>Đã thuộc</t>
        </is>
      </c>
    </row>
    <row r="122" ht="42" customHeight="1">
      <c r="A122" s="2" t="inlineStr">
        <is>
          <t>Travel &amp; Transport</t>
        </is>
      </c>
      <c r="B122" s="3" t="inlineStr">
        <is>
          <t>accessible</t>
        </is>
      </c>
      <c r="C122" s="4" t="inlineStr">
        <is>
          <t>adjective</t>
        </is>
      </c>
      <c r="D122" s="2" t="inlineStr">
        <is>
          <t>/əkˈses.ə.bəl/</t>
        </is>
      </c>
      <c r="E122" s="5" t="inlineStr">
        <is>
          <t>Dễ dàng tiếp cận, thuận tiện đi lại</t>
        </is>
      </c>
      <c r="F122" s="6" t="inlineStr">
        <is>
          <t>B1</t>
        </is>
      </c>
      <c r="G122" s="5" t="inlineStr">
        <is>
          <t>The island is easily accessible by a 45-minute ferry ride.</t>
        </is>
      </c>
      <c r="H122" s="5" t="inlineStr">
        <is>
          <t>reachable, available, approachable</t>
        </is>
      </c>
      <c r="I122" s="5" t="inlineStr">
        <is>
          <t>inaccessible, remote, isolated</t>
        </is>
      </c>
      <c r="J122" s="5" t="inlineStr">
        <is>
          <t>easily accessible, wheelchair accessible, public access</t>
        </is>
      </c>
      <c r="K122" s="5" t="inlineStr">
        <is>
          <t>Danh từ: accessibility.</t>
        </is>
      </c>
      <c r="L122" s="6" t="inlineStr">
        <is>
          <t>Đã thuộc</t>
        </is>
      </c>
    </row>
    <row r="123" ht="42" customHeight="1">
      <c r="A123" s="7" t="inlineStr">
        <is>
          <t>Travel &amp; Transport</t>
        </is>
      </c>
      <c r="B123" s="8" t="inlineStr">
        <is>
          <t>accommodation</t>
        </is>
      </c>
      <c r="C123" s="9" t="inlineStr">
        <is>
          <t>noun</t>
        </is>
      </c>
      <c r="D123" s="7" t="inlineStr">
        <is>
          <t>/əˌkɒm.əˈdeɪ.ʃən/</t>
        </is>
      </c>
      <c r="E123" s="10" t="inlineStr">
        <is>
          <t>Chỗ ở, phòng nghỉ khi đi du lịch</t>
        </is>
      </c>
      <c r="F123" s="11" t="inlineStr">
        <is>
          <t>B1</t>
        </is>
      </c>
      <c r="G123" s="10" t="inlineStr">
        <is>
          <t>Booking hotel accommodation in advance guarantees better rates.</t>
        </is>
      </c>
      <c r="H123" s="10" t="inlineStr">
        <is>
          <t>lodging, housing, shelter</t>
        </is>
      </c>
      <c r="I123" s="10" t="inlineStr">
        <is>
          <t>homelessness</t>
        </is>
      </c>
      <c r="J123" s="10" t="inlineStr">
        <is>
          <t>hotel accommodation, book accommodation, temporary accommodation</t>
        </is>
      </c>
      <c r="K123" s="10" t="inlineStr">
        <is>
          <t>Không đếm được trong Anh-Anh (2 chữ c, 2 chữ m).</t>
        </is>
      </c>
      <c r="L123" s="11" t="inlineStr">
        <is>
          <t>Đã thuộc</t>
        </is>
      </c>
    </row>
    <row r="124" ht="42" customHeight="1">
      <c r="A124" s="2" t="inlineStr">
        <is>
          <t>Travel &amp; Transport</t>
        </is>
      </c>
      <c r="B124" s="3" t="inlineStr">
        <is>
          <t>customs</t>
        </is>
      </c>
      <c r="C124" s="4" t="inlineStr">
        <is>
          <t>noun</t>
        </is>
      </c>
      <c r="D124" s="2" t="inlineStr">
        <is>
          <t>/ˈkʌs.təmz/</t>
        </is>
      </c>
      <c r="E124" s="5" t="inlineStr">
        <is>
          <t>Cơ quan hải quan kiểm tra hành lý</t>
        </is>
      </c>
      <c r="F124" s="6" t="inlineStr">
        <is>
          <t>B1</t>
        </is>
      </c>
      <c r="G124" s="5" t="inlineStr">
        <is>
          <t>All international passengers must clear customs at the airport.</t>
        </is>
      </c>
      <c r="H124" s="5" t="inlineStr">
        <is>
          <t>border control, duty inspection</t>
        </is>
      </c>
      <c r="I124" s="5" t="inlineStr">
        <is>
          <t>N/A</t>
        </is>
      </c>
      <c r="J124" s="5" t="inlineStr">
        <is>
          <t>pass through customs, customs officer, clear customs</t>
        </is>
      </c>
      <c r="K124" s="5" t="inlineStr">
        <is>
          <t>Luôn có s: customs (hải quan).</t>
        </is>
      </c>
      <c r="L124" s="6" t="inlineStr">
        <is>
          <t>Đã thuộc</t>
        </is>
      </c>
    </row>
    <row r="125" ht="42" customHeight="1">
      <c r="A125" s="7" t="inlineStr">
        <is>
          <t>Travel &amp; Transport</t>
        </is>
      </c>
      <c r="B125" s="8" t="inlineStr">
        <is>
          <t>delay</t>
        </is>
      </c>
      <c r="C125" s="9" t="inlineStr">
        <is>
          <t>verb/noun</t>
        </is>
      </c>
      <c r="D125" s="7" t="inlineStr">
        <is>
          <t>/dɪˈleɪ/</t>
        </is>
      </c>
      <c r="E125" s="10" t="inlineStr">
        <is>
          <t>Sự chậm trễ hoãn lại giờ khởi hành</t>
        </is>
      </c>
      <c r="F125" s="11" t="inlineStr">
        <is>
          <t>A2</t>
        </is>
      </c>
      <c r="G125" s="10" t="inlineStr">
        <is>
          <t>Heavy thunderstorms caused a two-hour flight delay at the airport.</t>
        </is>
      </c>
      <c r="H125" s="10" t="inlineStr">
        <is>
          <t>postponement, holdup, lag</t>
        </is>
      </c>
      <c r="I125" s="10" t="inlineStr">
        <is>
          <t>punctuality, promptness</t>
        </is>
      </c>
      <c r="J125" s="10" t="inlineStr">
        <is>
          <t>flight delay, train delay, delayed departure</t>
        </is>
      </c>
      <c r="K125" s="10" t="inlineStr">
        <is>
          <t>Dạng bị động: be delayed.</t>
        </is>
      </c>
      <c r="L125" s="11" t="inlineStr">
        <is>
          <t>Đã thuộc</t>
        </is>
      </c>
    </row>
    <row r="126" ht="42" customHeight="1">
      <c r="A126" s="2" t="inlineStr">
        <is>
          <t>Travel &amp; Transport</t>
        </is>
      </c>
      <c r="B126" s="3" t="inlineStr">
        <is>
          <t>expedition</t>
        </is>
      </c>
      <c r="C126" s="4" t="inlineStr">
        <is>
          <t>noun</t>
        </is>
      </c>
      <c r="D126" s="2" t="inlineStr">
        <is>
          <t>/ˌek.spəˈdɪʃ.ən/</t>
        </is>
      </c>
      <c r="E126" s="5" t="inlineStr">
        <is>
          <t>Chuyến thám hiểm nghiên cứu khoa học</t>
        </is>
      </c>
      <c r="F126" s="6" t="inlineStr">
        <is>
          <t>B2</t>
        </is>
      </c>
      <c r="G126" s="5" t="inlineStr">
        <is>
          <t>Scientists organized an expedition to explore deep caves in Quang Binh.</t>
        </is>
      </c>
      <c r="H126" s="5" t="inlineStr">
        <is>
          <t>exploration, trek, mission, voyage</t>
        </is>
      </c>
      <c r="I126" s="5" t="inlineStr">
        <is>
          <t>N/A</t>
        </is>
      </c>
      <c r="J126" s="5" t="inlineStr">
        <is>
          <t>scientific expedition, go on an expedition, cave expedition</t>
        </is>
      </c>
      <c r="K126" s="5" t="inlineStr">
        <is>
          <t>Người thám hiểm: explorer.</t>
        </is>
      </c>
      <c r="L126" s="6" t="inlineStr">
        <is>
          <t>Đang học</t>
        </is>
      </c>
    </row>
    <row r="127" ht="42" customHeight="1">
      <c r="A127" s="7" t="inlineStr">
        <is>
          <t>Travel &amp; Transport</t>
        </is>
      </c>
      <c r="B127" s="8" t="inlineStr">
        <is>
          <t>route</t>
        </is>
      </c>
      <c r="C127" s="9" t="inlineStr">
        <is>
          <t>noun</t>
        </is>
      </c>
      <c r="D127" s="7" t="inlineStr">
        <is>
          <t>/ruːt/</t>
        </is>
      </c>
      <c r="E127" s="10" t="inlineStr">
        <is>
          <t>Tuyến đường, lộ trình di chuyển</t>
        </is>
      </c>
      <c r="F127" s="11" t="inlineStr">
        <is>
          <t>B1</t>
        </is>
      </c>
      <c r="G127" s="10" t="inlineStr">
        <is>
          <t>Taking the coastal route offers breathtaking views of rocky cliffs.</t>
        </is>
      </c>
      <c r="H127" s="10" t="inlineStr">
        <is>
          <t>course, path, direction, roadway</t>
        </is>
      </c>
      <c r="I127" s="10" t="inlineStr">
        <is>
          <t>N/A</t>
        </is>
      </c>
      <c r="J127" s="10" t="inlineStr">
        <is>
          <t>bus route, direct route, scenic route</t>
        </is>
      </c>
      <c r="K127" s="10" t="inlineStr">
        <is>
          <t>Phát âm: /ruːt/ hoặc /raʊt/.</t>
        </is>
      </c>
      <c r="L127" s="11" t="inlineStr">
        <is>
          <t>Đã thuộc</t>
        </is>
      </c>
    </row>
    <row r="128" ht="42" customHeight="1">
      <c r="A128" s="2" t="inlineStr">
        <is>
          <t>Cities &amp; Architecture</t>
        </is>
      </c>
      <c r="B128" s="3" t="inlineStr">
        <is>
          <t>urbanization</t>
        </is>
      </c>
      <c r="C128" s="4" t="inlineStr">
        <is>
          <t>noun</t>
        </is>
      </c>
      <c r="D128" s="2" t="inlineStr">
        <is>
          <t>/ˌɜː.bən.aɪˈzeɪ.ʃən/</t>
        </is>
      </c>
      <c r="E128" s="5" t="inlineStr">
        <is>
          <t>Quá trình đô thị hóa dân cư</t>
        </is>
      </c>
      <c r="F128" s="6" t="inlineStr">
        <is>
          <t>B2</t>
        </is>
      </c>
      <c r="G128" s="5" t="inlineStr">
        <is>
          <t>Rapid urbanization creates housing shortages in metropolitan centers.</t>
        </is>
      </c>
      <c r="H128" s="5" t="inlineStr">
        <is>
          <t>city expansion, metropolitan growth</t>
        </is>
      </c>
      <c r="I128" s="5" t="inlineStr">
        <is>
          <t>ruralization, depopulation</t>
        </is>
      </c>
      <c r="J128" s="5" t="inlineStr">
        <is>
          <t>rapid urbanization, rate of urbanization, process of urbanization</t>
        </is>
      </c>
      <c r="K128" s="5" t="inlineStr">
        <is>
          <t>Urban (thành thị) &gt;&lt; rural (nông thôn).</t>
        </is>
      </c>
      <c r="L128" s="6" t="inlineStr">
        <is>
          <t>Đã thuộc</t>
        </is>
      </c>
    </row>
    <row r="129" ht="42" customHeight="1">
      <c r="A129" s="7" t="inlineStr">
        <is>
          <t>Cities &amp; Architecture</t>
        </is>
      </c>
      <c r="B129" s="8" t="inlineStr">
        <is>
          <t>skyscraper</t>
        </is>
      </c>
      <c r="C129" s="9" t="inlineStr">
        <is>
          <t>noun</t>
        </is>
      </c>
      <c r="D129" s="7" t="inlineStr">
        <is>
          <t>/ˈskaɪˌskreɪ.pər/</t>
        </is>
      </c>
      <c r="E129" s="10" t="inlineStr">
        <is>
          <t>Tòa nhà chọc trời cao tầng</t>
        </is>
      </c>
      <c r="F129" s="11" t="inlineStr">
        <is>
          <t>B1</t>
        </is>
      </c>
      <c r="G129" s="10" t="inlineStr">
        <is>
          <t>Modern skyscrapers dominate the glittering skyline of the city.</t>
        </is>
      </c>
      <c r="H129" s="10" t="inlineStr">
        <is>
          <t>high-rise building, tower block</t>
        </is>
      </c>
      <c r="I129" s="10" t="inlineStr">
        <is>
          <t>low-rise building, single-story house</t>
        </is>
      </c>
      <c r="J129" s="10" t="inlineStr">
        <is>
          <t>modern skyscraper, build a skyscraper, skyscraper skyline</t>
        </is>
      </c>
      <c r="K129" s="10" t="inlineStr">
        <is>
          <t>Sky + scraper.</t>
        </is>
      </c>
      <c r="L129" s="11" t="inlineStr">
        <is>
          <t>Đã thuộc</t>
        </is>
      </c>
    </row>
    <row r="130" ht="42" customHeight="1">
      <c r="A130" s="2" t="inlineStr">
        <is>
          <t>Cities &amp; Architecture</t>
        </is>
      </c>
      <c r="B130" s="3" t="inlineStr">
        <is>
          <t>suburb</t>
        </is>
      </c>
      <c r="C130" s="4" t="inlineStr">
        <is>
          <t>noun</t>
        </is>
      </c>
      <c r="D130" s="2" t="inlineStr">
        <is>
          <t>/ˈsʌb.ɜːb/</t>
        </is>
      </c>
      <c r="E130" s="5" t="inlineStr">
        <is>
          <t>Khu vực ngoại ô ven thành phố</t>
        </is>
      </c>
      <c r="F130" s="6" t="inlineStr">
        <is>
          <t>B1</t>
        </is>
      </c>
      <c r="G130" s="5" t="inlineStr">
        <is>
          <t>Families prefer living in the quiet suburbs where housing is cheaper.</t>
        </is>
      </c>
      <c r="H130" s="5" t="inlineStr">
        <is>
          <t>outskirts, residential district</t>
        </is>
      </c>
      <c r="I130" s="5" t="inlineStr">
        <is>
          <t>city center, downtown, inner city</t>
        </is>
      </c>
      <c r="J130" s="5" t="inlineStr">
        <is>
          <t>in the suburbs, quiet suburb, move to suburbs</t>
        </is>
      </c>
      <c r="K130" s="5" t="inlineStr">
        <is>
          <t>Tính từ: suburban.</t>
        </is>
      </c>
      <c r="L130" s="6" t="inlineStr">
        <is>
          <t>Đã thuộc</t>
        </is>
      </c>
    </row>
    <row r="131" ht="42" customHeight="1">
      <c r="A131" s="7" t="inlineStr">
        <is>
          <t>Cities &amp; Architecture</t>
        </is>
      </c>
      <c r="B131" s="8" t="inlineStr">
        <is>
          <t>amenity</t>
        </is>
      </c>
      <c r="C131" s="9" t="inlineStr">
        <is>
          <t>noun</t>
        </is>
      </c>
      <c r="D131" s="7" t="inlineStr">
        <is>
          <t>/əˈmiː.nə.ti/</t>
        </is>
      </c>
      <c r="E131" s="10" t="inlineStr">
        <is>
          <t>Tiện ích công cộng (công viên, hồ bơi, trường)</t>
        </is>
      </c>
      <c r="F131" s="11" t="inlineStr">
        <is>
          <t>B2</t>
        </is>
      </c>
      <c r="G131" s="10" t="inlineStr">
        <is>
          <t>The residential complex boasts excellent amenities including a gym and pool.</t>
        </is>
      </c>
      <c r="H131" s="10" t="inlineStr">
        <is>
          <t>facility, convenience, public service</t>
        </is>
      </c>
      <c r="I131" s="10" t="inlineStr">
        <is>
          <t>inconvenience, drawback</t>
        </is>
      </c>
      <c r="J131" s="10" t="inlineStr">
        <is>
          <t>local amenities, modern amenities, public amenities</t>
        </is>
      </c>
      <c r="K131" s="10" t="inlineStr">
        <is>
          <t>Thường dùng số nhiều: amenities.</t>
        </is>
      </c>
      <c r="L131" s="11" t="inlineStr">
        <is>
          <t>Đang học</t>
        </is>
      </c>
    </row>
    <row r="132" ht="42" customHeight="1">
      <c r="A132" s="2" t="inlineStr">
        <is>
          <t>Cities &amp; Architecture</t>
        </is>
      </c>
      <c r="B132" s="3" t="inlineStr">
        <is>
          <t>residential</t>
        </is>
      </c>
      <c r="C132" s="4" t="inlineStr">
        <is>
          <t>adjective</t>
        </is>
      </c>
      <c r="D132" s="2" t="inlineStr">
        <is>
          <t>/ˌrez.ɪˈden.ʃəl/</t>
        </is>
      </c>
      <c r="E132" s="5" t="inlineStr">
        <is>
          <t>Thuộc khu dân cư sinh sống</t>
        </is>
      </c>
      <c r="F132" s="6" t="inlineStr">
        <is>
          <t>B1</t>
        </is>
      </c>
      <c r="G132" s="5" t="inlineStr">
        <is>
          <t>The council banned heavy trucks from quiet residential areas.</t>
        </is>
      </c>
      <c r="H132" s="5" t="inlineStr">
        <is>
          <t>housing, neighborhood-based</t>
        </is>
      </c>
      <c r="I132" s="5" t="inlineStr">
        <is>
          <t>commercial, industrial</t>
        </is>
      </c>
      <c r="J132" s="5" t="inlineStr">
        <is>
          <t>residential area, residential building, residential neighborhood</t>
        </is>
      </c>
      <c r="K132" s="5" t="inlineStr">
        <is>
          <t>Cư dân: resident.</t>
        </is>
      </c>
      <c r="L132" s="6" t="inlineStr">
        <is>
          <t>Đã thuộc</t>
        </is>
      </c>
    </row>
    <row r="133" ht="42" customHeight="1">
      <c r="A133" s="7" t="inlineStr">
        <is>
          <t>Cities &amp; Architecture</t>
        </is>
      </c>
      <c r="B133" s="8" t="inlineStr">
        <is>
          <t>affordable</t>
        </is>
      </c>
      <c r="C133" s="9" t="inlineStr">
        <is>
          <t>adjective</t>
        </is>
      </c>
      <c r="D133" s="7" t="inlineStr">
        <is>
          <t>/əˈfɔː.də.bəl/</t>
        </is>
      </c>
      <c r="E133" s="10" t="inlineStr">
        <is>
          <t>Có giá cả phải chăng vừa túi tiền</t>
        </is>
      </c>
      <c r="F133" s="11" t="inlineStr">
        <is>
          <t>B1</t>
        </is>
      </c>
      <c r="G133" s="10" t="inlineStr">
        <is>
          <t>Constructing affordable social housing helps young factory workers.</t>
        </is>
      </c>
      <c r="H133" s="10" t="inlineStr">
        <is>
          <t>reasonably priced, low-cost, budget-friendly</t>
        </is>
      </c>
      <c r="I133" s="10" t="inlineStr">
        <is>
          <t>unaffordable, exorbitant, overpriced</t>
        </is>
      </c>
      <c r="J133" s="10" t="inlineStr">
        <is>
          <t>affordable housing, affordable price, affordable rent</t>
        </is>
      </c>
      <c r="K133" s="10" t="inlineStr">
        <is>
          <t>Động từ: afford.</t>
        </is>
      </c>
      <c r="L133" s="11" t="inlineStr">
        <is>
          <t>Đã thuộc</t>
        </is>
      </c>
    </row>
    <row r="134" ht="42" customHeight="1">
      <c r="A134" s="2" t="inlineStr">
        <is>
          <t>Cities &amp; Architecture</t>
        </is>
      </c>
      <c r="B134" s="3" t="inlineStr">
        <is>
          <t>slum</t>
        </is>
      </c>
      <c r="C134" s="4" t="inlineStr">
        <is>
          <t>noun</t>
        </is>
      </c>
      <c r="D134" s="2" t="inlineStr">
        <is>
          <t>/slʌm/</t>
        </is>
      </c>
      <c r="E134" s="5" t="inlineStr">
        <is>
          <t>Khu nhà ổ chuột lụp xụp thiếu thốn</t>
        </is>
      </c>
      <c r="F134" s="6" t="inlineStr">
        <is>
          <t>B2</t>
        </is>
      </c>
      <c r="G134" s="5" t="inlineStr">
        <is>
          <t>City development programs aim to eliminate slums by relocating families.</t>
        </is>
      </c>
      <c r="H134" s="5" t="inlineStr">
        <is>
          <t>shantytown, squatter settlement</t>
        </is>
      </c>
      <c r="I134" s="5" t="inlineStr">
        <is>
          <t>upscale neighborhood, wealthy district</t>
        </is>
      </c>
      <c r="J134" s="5" t="inlineStr">
        <is>
          <t>urban slum, live in a slum, slum clearance, slum dwellers</t>
        </is>
      </c>
      <c r="K134" s="5" t="inlineStr">
        <is>
          <t>Slum dwellers = cư dân khu ổ chuột.</t>
        </is>
      </c>
      <c r="L134" s="6" t="inlineStr">
        <is>
          <t>Đang học</t>
        </is>
      </c>
    </row>
    <row r="135" ht="42" customHeight="1">
      <c r="A135" s="7" t="inlineStr">
        <is>
          <t>Cities &amp; Architecture</t>
        </is>
      </c>
      <c r="B135" s="8" t="inlineStr">
        <is>
          <t>heritage</t>
        </is>
      </c>
      <c r="C135" s="9" t="inlineStr">
        <is>
          <t>noun</t>
        </is>
      </c>
      <c r="D135" s="7" t="inlineStr">
        <is>
          <t>/ˈher.ɪ.tɪdʒ/</t>
        </is>
      </c>
      <c r="E135" s="10" t="inlineStr">
        <is>
          <t>Di sản lịch sử kiến trúc hoặc văn hóa</t>
        </is>
      </c>
      <c r="F135" s="11" t="inlineStr">
        <is>
          <t>B1</t>
        </is>
      </c>
      <c r="G135" s="10" t="inlineStr">
        <is>
          <t>Old colonial buildings in downtown are valuable architectural heritage.</t>
        </is>
      </c>
      <c r="H135" s="10" t="inlineStr">
        <is>
          <t>legacy, historical inheritance, tradition</t>
        </is>
      </c>
      <c r="I135" s="10" t="inlineStr">
        <is>
          <t>modern construction</t>
        </is>
      </c>
      <c r="J135" s="10" t="inlineStr">
        <is>
          <t>architectural heritage, cultural heritage, heritage building</t>
        </is>
      </c>
      <c r="K135" s="10" t="inlineStr">
        <is>
          <t>UNESCO World Heritage Site.</t>
        </is>
      </c>
      <c r="L135" s="11" t="inlineStr">
        <is>
          <t>Đã thuộc</t>
        </is>
      </c>
    </row>
    <row r="136" ht="42" customHeight="1">
      <c r="A136" s="2" t="inlineStr">
        <is>
          <t>Cities &amp; Architecture</t>
        </is>
      </c>
      <c r="B136" s="3" t="inlineStr">
        <is>
          <t>renovate</t>
        </is>
      </c>
      <c r="C136" s="4" t="inlineStr">
        <is>
          <t>verb</t>
        </is>
      </c>
      <c r="D136" s="2" t="inlineStr">
        <is>
          <t>/ˈren.ə.veɪt/</t>
        </is>
      </c>
      <c r="E136" s="5" t="inlineStr">
        <is>
          <t>Cải tạo sửa sang nâng cấp nhà cửa cũ</t>
        </is>
      </c>
      <c r="F136" s="6" t="inlineStr">
        <is>
          <t>B2</t>
        </is>
      </c>
      <c r="G136" s="5" t="inlineStr">
        <is>
          <t>The family decided to renovate their kitchen with new cabinets.</t>
        </is>
      </c>
      <c r="H136" s="5" t="inlineStr">
        <is>
          <t>refurbish, restore, remodel, modernize</t>
        </is>
      </c>
      <c r="I136" s="5" t="inlineStr">
        <is>
          <t>demolish, neglect, ruin</t>
        </is>
      </c>
      <c r="J136" s="5" t="inlineStr">
        <is>
          <t>renovate a house, completely renovate, renovate building</t>
        </is>
      </c>
      <c r="K136" s="5" t="inlineStr">
        <is>
          <t>Danh từ: renovation.</t>
        </is>
      </c>
      <c r="L136" s="6" t="inlineStr">
        <is>
          <t>Đang học</t>
        </is>
      </c>
    </row>
    <row r="137" ht="42" customHeight="1">
      <c r="A137" s="7" t="inlineStr">
        <is>
          <t>Cities &amp; Architecture</t>
        </is>
      </c>
      <c r="B137" s="8" t="inlineStr">
        <is>
          <t>overcrowded</t>
        </is>
      </c>
      <c r="C137" s="9" t="inlineStr">
        <is>
          <t>adjective</t>
        </is>
      </c>
      <c r="D137" s="7" t="inlineStr">
        <is>
          <t>/ˌəʊ.vəˈkraʊ.dɪd/</t>
        </is>
      </c>
      <c r="E137" s="10" t="inlineStr">
        <is>
          <t>Quá đông đúc, chật ních người</t>
        </is>
      </c>
      <c r="F137" s="11" t="inlineStr">
        <is>
          <t>B1</t>
        </is>
      </c>
      <c r="G137" s="10" t="inlineStr">
        <is>
          <t>Living in overcrowded apartments with poor ventilation causes illness.</t>
        </is>
      </c>
      <c r="H137" s="10" t="inlineStr">
        <is>
          <t>congested, packed, jam-packed</t>
        </is>
      </c>
      <c r="I137" s="10" t="inlineStr">
        <is>
          <t>spacious, empty, roomy</t>
        </is>
      </c>
      <c r="J137" s="10" t="inlineStr">
        <is>
          <t>overcrowded city, overcrowded classrooms, overcrowded buses</t>
        </is>
      </c>
      <c r="K137" s="10" t="inlineStr">
        <is>
          <t>Over- + crowded.</t>
        </is>
      </c>
      <c r="L137" s="11" t="inlineStr">
        <is>
          <t>Đã thuộc</t>
        </is>
      </c>
    </row>
    <row r="138" ht="42" customHeight="1">
      <c r="A138" s="2" t="inlineStr">
        <is>
          <t>Cities &amp; Architecture</t>
        </is>
      </c>
      <c r="B138" s="3" t="inlineStr">
        <is>
          <t>sanitation</t>
        </is>
      </c>
      <c r="C138" s="4" t="inlineStr">
        <is>
          <t>noun</t>
        </is>
      </c>
      <c r="D138" s="2" t="inlineStr">
        <is>
          <t>/ˌsæn.ɪˈteɪ.ʃən/</t>
        </is>
      </c>
      <c r="E138" s="5" t="inlineStr">
        <is>
          <t>Hệ thống vệ sinh môi trường đô thị</t>
        </is>
      </c>
      <c r="F138" s="6" t="inlineStr">
        <is>
          <t>B2</t>
        </is>
      </c>
      <c r="G138" s="5" t="inlineStr">
        <is>
          <t>Access to clean water and adequate sanitation is a basic human right.</t>
        </is>
      </c>
      <c r="H138" s="5" t="inlineStr">
        <is>
          <t>public hygiene, sewage system</t>
        </is>
      </c>
      <c r="I138" s="5" t="inlineStr">
        <is>
          <t>insanitation, pollution</t>
        </is>
      </c>
      <c r="J138" s="5" t="inlineStr">
        <is>
          <t>improve sanitation, poor sanitation, sanitation facilities</t>
        </is>
      </c>
      <c r="K138" s="5" t="inlineStr">
        <is>
          <t>Tính từ: sanitary.</t>
        </is>
      </c>
      <c r="L138" s="6" t="inlineStr">
        <is>
          <t>Đang học</t>
        </is>
      </c>
    </row>
    <row r="139" ht="42" customHeight="1">
      <c r="A139" s="7" t="inlineStr">
        <is>
          <t>Cities &amp; Architecture</t>
        </is>
      </c>
      <c r="B139" s="8" t="inlineStr">
        <is>
          <t>pedestrianized</t>
        </is>
      </c>
      <c r="C139" s="9" t="inlineStr">
        <is>
          <t>adjective</t>
        </is>
      </c>
      <c r="D139" s="7" t="inlineStr">
        <is>
          <t>/pəˈdes.tri.ə.naɪzd/</t>
        </is>
      </c>
      <c r="E139" s="10" t="inlineStr">
        <is>
          <t>Được quy hoạch thành phố đi bộ cấm xe</t>
        </is>
      </c>
      <c r="F139" s="11" t="inlineStr">
        <is>
          <t>B2</t>
        </is>
      </c>
      <c r="G139" s="10" t="inlineStr">
        <is>
          <t>The pedestrianized zone around the lake is a vibrant cultural hub.</t>
        </is>
      </c>
      <c r="H139" s="10" t="inlineStr">
        <is>
          <t>car-free, walking-only</t>
        </is>
      </c>
      <c r="I139" s="10" t="inlineStr">
        <is>
          <t>motorized, traffic-heavy</t>
        </is>
      </c>
      <c r="J139" s="10" t="inlineStr">
        <is>
          <t>pedestrianized street, pedestrianized area, pedestrianized center</t>
        </is>
      </c>
      <c r="K139" s="10" t="inlineStr">
        <is>
          <t>Động từ: pedestrianize.</t>
        </is>
      </c>
      <c r="L139" s="11" t="inlineStr">
        <is>
          <t>Đang học</t>
        </is>
      </c>
    </row>
    <row r="140" ht="42" customHeight="1">
      <c r="A140" s="2" t="inlineStr">
        <is>
          <t>Cities &amp; Architecture</t>
        </is>
      </c>
      <c r="B140" s="3" t="inlineStr">
        <is>
          <t>metropolis</t>
        </is>
      </c>
      <c r="C140" s="4" t="inlineStr">
        <is>
          <t>noun</t>
        </is>
      </c>
      <c r="D140" s="2" t="inlineStr">
        <is>
          <t>/məˈtrɒp.əl.ɪs/</t>
        </is>
      </c>
      <c r="E140" s="5" t="inlineStr">
        <is>
          <t>Đại đô thị sầm uất trung tâm đông dân</t>
        </is>
      </c>
      <c r="F140" s="6" t="inlineStr">
        <is>
          <t>B2</t>
        </is>
      </c>
      <c r="G140" s="5" t="inlineStr">
        <is>
          <t>Tokyo is a bustling global metropolis with efficient rail systems.</t>
        </is>
      </c>
      <c r="H140" s="5" t="inlineStr">
        <is>
          <t>megacity, major city, capital</t>
        </is>
      </c>
      <c r="I140" s="5" t="inlineStr">
        <is>
          <t>small town, rural village</t>
        </is>
      </c>
      <c r="J140" s="5" t="inlineStr">
        <is>
          <t>bustling metropolis, modern metropolis, global metropolis</t>
        </is>
      </c>
      <c r="K140" s="5" t="inlineStr">
        <is>
          <t>Tính từ: metropolitan.</t>
        </is>
      </c>
      <c r="L140" s="6" t="inlineStr">
        <is>
          <t>Đang học</t>
        </is>
      </c>
    </row>
    <row r="141" ht="42" customHeight="1">
      <c r="A141" s="7" t="inlineStr">
        <is>
          <t>Cities &amp; Architecture</t>
        </is>
      </c>
      <c r="B141" s="8" t="inlineStr">
        <is>
          <t>demolish</t>
        </is>
      </c>
      <c r="C141" s="9" t="inlineStr">
        <is>
          <t>verb</t>
        </is>
      </c>
      <c r="D141" s="7" t="inlineStr">
        <is>
          <t>/dɪˈmɒl.ɪʃ/</t>
        </is>
      </c>
      <c r="E141" s="10" t="inlineStr">
        <is>
          <t>Phá dỡ đánh sập tòa nhà cũ để xây mới</t>
        </is>
      </c>
      <c r="F141" s="11" t="inlineStr">
        <is>
          <t>B2</t>
        </is>
      </c>
      <c r="G141" s="10" t="inlineStr">
        <is>
          <t>The council decided to demolish the dilapidated factory for a park.</t>
        </is>
      </c>
      <c r="H141" s="10" t="inlineStr">
        <is>
          <t>knock down, tear down, bulldoze</t>
        </is>
      </c>
      <c r="I141" s="10" t="inlineStr">
        <is>
          <t>construct, build, erect</t>
        </is>
      </c>
      <c r="J141" s="10" t="inlineStr">
        <is>
          <t>demolish a building, completely demolish, schedule to demolish</t>
        </is>
      </c>
      <c r="K141" s="10" t="inlineStr">
        <is>
          <t>Danh từ: demolition.</t>
        </is>
      </c>
      <c r="L141" s="11" t="inlineStr">
        <is>
          <t>Đang học</t>
        </is>
      </c>
    </row>
    <row r="142" ht="42" customHeight="1">
      <c r="A142" s="2" t="inlineStr">
        <is>
          <t>Cities &amp; Architecture</t>
        </is>
      </c>
      <c r="B142" s="3" t="inlineStr">
        <is>
          <t>high-rise</t>
        </is>
      </c>
      <c r="C142" s="4" t="inlineStr">
        <is>
          <t>noun/adjective</t>
        </is>
      </c>
      <c r="D142" s="2" t="inlineStr">
        <is>
          <t>/ˈhaɪ.raɪz/</t>
        </is>
      </c>
      <c r="E142" s="5" t="inlineStr">
        <is>
          <t>Nhà cao tầng nhiều tầng</t>
        </is>
      </c>
      <c r="F142" s="6" t="inlineStr">
        <is>
          <t>B1</t>
        </is>
      </c>
      <c r="G142" s="5" t="inlineStr">
        <is>
          <t>High-rise apartments maximize limited land space in cities.</t>
        </is>
      </c>
      <c r="H142" s="5" t="inlineStr">
        <is>
          <t>tall building, tower block</t>
        </is>
      </c>
      <c r="I142" s="5" t="inlineStr">
        <is>
          <t>low-rise, bungalow</t>
        </is>
      </c>
      <c r="J142" s="5" t="inlineStr">
        <is>
          <t>high-rise apartment, high-rise building, live in high-rise</t>
        </is>
      </c>
      <c r="K142" s="5" t="inlineStr">
        <is>
          <t>High-rise building.</t>
        </is>
      </c>
      <c r="L142" s="6" t="inlineStr">
        <is>
          <t>Đã thuộc</t>
        </is>
      </c>
    </row>
    <row r="143" ht="42" customHeight="1">
      <c r="A143" s="7" t="inlineStr">
        <is>
          <t>Cities &amp; Architecture</t>
        </is>
      </c>
      <c r="B143" s="8" t="inlineStr">
        <is>
          <t>layout</t>
        </is>
      </c>
      <c r="C143" s="9" t="inlineStr">
        <is>
          <t>noun</t>
        </is>
      </c>
      <c r="D143" s="7" t="inlineStr">
        <is>
          <t>/ˈleɪ.aʊt/</t>
        </is>
      </c>
      <c r="E143" s="10" t="inlineStr">
        <is>
          <t>Bố cục mặt bằng sắp xếp không gian</t>
        </is>
      </c>
      <c r="F143" s="11" t="inlineStr">
        <is>
          <t>B1</t>
        </is>
      </c>
      <c r="G143" s="10" t="inlineStr">
        <is>
          <t>The open-plan layout makes the apartment feel much more spacious.</t>
        </is>
      </c>
      <c r="H143" s="10" t="inlineStr">
        <is>
          <t>arrangement, design, floor plan</t>
        </is>
      </c>
      <c r="I143" s="10" t="inlineStr">
        <is>
          <t>N/A</t>
        </is>
      </c>
      <c r="J143" s="10" t="inlineStr">
        <is>
          <t>room layout, open-plan layout, apartment layout</t>
        </is>
      </c>
      <c r="K143" s="10" t="inlineStr">
        <is>
          <t>Lay + out.</t>
        </is>
      </c>
      <c r="L143" s="11" t="inlineStr">
        <is>
          <t>Đã thuộc</t>
        </is>
      </c>
    </row>
    <row r="144" ht="42" customHeight="1">
      <c r="A144" s="2" t="inlineStr">
        <is>
          <t>Cities &amp; Architecture</t>
        </is>
      </c>
      <c r="B144" s="3" t="inlineStr">
        <is>
          <t>tenancy</t>
        </is>
      </c>
      <c r="C144" s="4" t="inlineStr">
        <is>
          <t>noun</t>
        </is>
      </c>
      <c r="D144" s="2" t="inlineStr">
        <is>
          <t>/ˈten.ən.si/</t>
        </is>
      </c>
      <c r="E144" s="5" t="inlineStr">
        <is>
          <t>Hợp đồng thuê nhà, thời hạn thuê mướn</t>
        </is>
      </c>
      <c r="F144" s="6" t="inlineStr">
        <is>
          <t>B2</t>
        </is>
      </c>
      <c r="G144" s="5" t="inlineStr">
        <is>
          <t>The tenancy agreement states that the tenant must pay a deposit.</t>
        </is>
      </c>
      <c r="H144" s="5" t="inlineStr">
        <is>
          <t>rental lease, occupancy, lease period</t>
        </is>
      </c>
      <c r="I144" s="5" t="inlineStr">
        <is>
          <t>home ownership, freehold</t>
        </is>
      </c>
      <c r="J144" s="5" t="inlineStr">
        <is>
          <t>tenancy agreement, period of tenancy, joint tenancy</t>
        </is>
      </c>
      <c r="K144" s="5" t="inlineStr">
        <is>
          <t>Người thuê: tenant.</t>
        </is>
      </c>
      <c r="L144" s="6" t="inlineStr">
        <is>
          <t>Cần ôn lại</t>
        </is>
      </c>
    </row>
    <row r="145" ht="42" customHeight="1">
      <c r="A145" s="7" t="inlineStr">
        <is>
          <t>Cities &amp; Architecture</t>
        </is>
      </c>
      <c r="B145" s="8" t="inlineStr">
        <is>
          <t>sustainable building</t>
        </is>
      </c>
      <c r="C145" s="9" t="inlineStr">
        <is>
          <t>noun phrase</t>
        </is>
      </c>
      <c r="D145" s="7" t="inlineStr">
        <is>
          <t>/səˈsteɪ.nə.bəl ˈbɪl.dɪŋ/</t>
        </is>
      </c>
      <c r="E145" s="10" t="inlineStr">
        <is>
          <t>Tòa nhà xanh tiết kiệm năng lượng</t>
        </is>
      </c>
      <c r="F145" s="11" t="inlineStr">
        <is>
          <t>B2</t>
        </is>
      </c>
      <c r="G145" s="10" t="inlineStr">
        <is>
          <t>Sustainable buildings utilize rooftop solar panels and rainwater tanks.</t>
        </is>
      </c>
      <c r="H145" s="10" t="inlineStr">
        <is>
          <t>green building, eco-friendly architecture</t>
        </is>
      </c>
      <c r="I145" s="10" t="inlineStr">
        <is>
          <t>energy-wasting structure</t>
        </is>
      </c>
      <c r="J145" s="10" t="inlineStr">
        <is>
          <t>design sustainable buildings, sustainable building materials</t>
        </is>
      </c>
      <c r="K145" s="10" t="inlineStr">
        <is>
          <t>Chứng chỉ xanh LEED/Lotus.</t>
        </is>
      </c>
      <c r="L145" s="11" t="inlineStr">
        <is>
          <t>Đã thuộc</t>
        </is>
      </c>
    </row>
    <row r="146" ht="42" customHeight="1">
      <c r="A146" s="2" t="inlineStr">
        <is>
          <t>Arts &amp; Culture</t>
        </is>
      </c>
      <c r="B146" s="3" t="inlineStr">
        <is>
          <t>exhibition</t>
        </is>
      </c>
      <c r="C146" s="4" t="inlineStr">
        <is>
          <t>noun</t>
        </is>
      </c>
      <c r="D146" s="2" t="inlineStr">
        <is>
          <t>/ˌek.sɪˈbɪʃ.ən/</t>
        </is>
      </c>
      <c r="E146" s="5" t="inlineStr">
        <is>
          <t>Triển lãm trưng bày tranh ảnh hiện vật</t>
        </is>
      </c>
      <c r="F146" s="6" t="inlineStr">
        <is>
          <t>B1</t>
        </is>
      </c>
      <c r="G146" s="5" t="inlineStr">
        <is>
          <t>The museum is hosting a special exhibition on lacquer painting.</t>
        </is>
      </c>
      <c r="H146" s="5" t="inlineStr">
        <is>
          <t>art show, display, presentation</t>
        </is>
      </c>
      <c r="I146" s="5" t="inlineStr">
        <is>
          <t>N/A</t>
        </is>
      </c>
      <c r="J146" s="5" t="inlineStr">
        <is>
          <t>art exhibition, host an exhibition, visit exhibition</t>
        </is>
      </c>
      <c r="K146" s="5" t="inlineStr">
        <is>
          <t>Động từ: exhibit /ɪɡˈzɪb.ɪt/.</t>
        </is>
      </c>
      <c r="L146" s="6" t="inlineStr">
        <is>
          <t>Đã thuộc</t>
        </is>
      </c>
    </row>
    <row r="147" ht="42" customHeight="1">
      <c r="A147" s="7" t="inlineStr">
        <is>
          <t>Arts &amp; Culture</t>
        </is>
      </c>
      <c r="B147" s="8" t="inlineStr">
        <is>
          <t>masterpiece</t>
        </is>
      </c>
      <c r="C147" s="9" t="inlineStr">
        <is>
          <t>noun</t>
        </is>
      </c>
      <c r="D147" s="7" t="inlineStr">
        <is>
          <t>/ˈmɑː.stə.piːs/</t>
        </is>
      </c>
      <c r="E147" s="10" t="inlineStr">
        <is>
          <t>Kiệt tác nghệ thuật đỉnh cao để đời</t>
        </is>
      </c>
      <c r="F147" s="11" t="inlineStr">
        <is>
          <t>B2</t>
        </is>
      </c>
      <c r="G147" s="10" t="inlineStr">
        <is>
          <t>The Mona Lisa is widely celebrated as an immortal masterpiece.</t>
        </is>
      </c>
      <c r="H147" s="10" t="inlineStr">
        <is>
          <t>magnum opus, classic, great work</t>
        </is>
      </c>
      <c r="I147" s="10" t="inlineStr">
        <is>
          <t>mediocre work, failure</t>
        </is>
      </c>
      <c r="J147" s="10" t="inlineStr">
        <is>
          <t>artistic masterpiece, literary masterpiece, timeless masterpiece</t>
        </is>
      </c>
      <c r="K147" s="10" t="inlineStr">
        <is>
          <t>Master + piece.</t>
        </is>
      </c>
      <c r="L147" s="11" t="inlineStr">
        <is>
          <t>Đã thuộc</t>
        </is>
      </c>
    </row>
    <row r="148" ht="42" customHeight="1">
      <c r="A148" s="2" t="inlineStr">
        <is>
          <t>Arts &amp; Culture</t>
        </is>
      </c>
      <c r="B148" s="3" t="inlineStr">
        <is>
          <t>folklore</t>
        </is>
      </c>
      <c r="C148" s="4" t="inlineStr">
        <is>
          <t>noun</t>
        </is>
      </c>
      <c r="D148" s="2" t="inlineStr">
        <is>
          <t>/ˈfəʊk.lɔːr/</t>
        </is>
      </c>
      <c r="E148" s="5" t="inlineStr">
        <is>
          <t>Văn hóa dân gian truyền miệng của nhân dân</t>
        </is>
      </c>
      <c r="F148" s="6" t="inlineStr">
        <is>
          <t>B1</t>
        </is>
      </c>
      <c r="G148" s="5" t="inlineStr">
        <is>
          <t>Vietnamese folklore is rich with humorous tales and inspiring legends.</t>
        </is>
      </c>
      <c r="H148" s="5" t="inlineStr">
        <is>
          <t>mythology, oral tradition, folk tales</t>
        </is>
      </c>
      <c r="I148" s="5" t="inlineStr">
        <is>
          <t>modern literature</t>
        </is>
      </c>
      <c r="J148" s="5" t="inlineStr">
        <is>
          <t>traditional folklore, local folklore, rich folklore</t>
        </is>
      </c>
      <c r="K148" s="5" t="inlineStr">
        <is>
          <t>Folk + lore.</t>
        </is>
      </c>
      <c r="L148" s="6" t="inlineStr">
        <is>
          <t>Đã thuộc</t>
        </is>
      </c>
    </row>
    <row r="149" ht="42" customHeight="1">
      <c r="A149" s="7" t="inlineStr">
        <is>
          <t>Arts &amp; Culture</t>
        </is>
      </c>
      <c r="B149" s="8" t="inlineStr">
        <is>
          <t>costume</t>
        </is>
      </c>
      <c r="C149" s="9" t="inlineStr">
        <is>
          <t>noun</t>
        </is>
      </c>
      <c r="D149" s="7" t="inlineStr">
        <is>
          <t>/ˈkɒs.tʃuːm/</t>
        </is>
      </c>
      <c r="E149" s="10" t="inlineStr">
        <is>
          <t>Trang phục truyền thống hoặc biểu diễn sân khấu</t>
        </is>
      </c>
      <c r="F149" s="11" t="inlineStr">
        <is>
          <t>A2</t>
        </is>
      </c>
      <c r="G149" s="10" t="inlineStr">
        <is>
          <t>Ethnic women wear colorful handmade traditional costumes during festival.</t>
        </is>
      </c>
      <c r="H149" s="10" t="inlineStr">
        <is>
          <t>traditional attire, outfit, stage dress</t>
        </is>
      </c>
      <c r="I149" s="10" t="inlineStr">
        <is>
          <t>casual wear, everyday clothing</t>
        </is>
      </c>
      <c r="J149" s="10" t="inlineStr">
        <is>
          <t>traditional costume, national costume, stage costume</t>
        </is>
      </c>
      <c r="K149" s="10" t="inlineStr">
        <is>
          <t>Áo dài là national costume.</t>
        </is>
      </c>
      <c r="L149" s="11" t="inlineStr">
        <is>
          <t>Đã thuộc</t>
        </is>
      </c>
    </row>
    <row r="150" ht="42" customHeight="1">
      <c r="A150" s="2" t="inlineStr">
        <is>
          <t>Arts &amp; Culture</t>
        </is>
      </c>
      <c r="B150" s="3" t="inlineStr">
        <is>
          <t>genre</t>
        </is>
      </c>
      <c r="C150" s="4" t="inlineStr">
        <is>
          <t>noun</t>
        </is>
      </c>
      <c r="D150" s="2" t="inlineStr">
        <is>
          <t>/ˈʒɒn.rə/</t>
        </is>
      </c>
      <c r="E150" s="5" t="inlineStr">
        <is>
          <t>Thể loại phim, âm nhạc hoặc sách</t>
        </is>
      </c>
      <c r="F150" s="6" t="inlineStr">
        <is>
          <t>B2</t>
        </is>
      </c>
      <c r="G150" s="5" t="inlineStr">
        <is>
          <t>Science fiction has become my favorite movie genre.</t>
        </is>
      </c>
      <c r="H150" s="5" t="inlineStr">
        <is>
          <t>category, style, type, classification</t>
        </is>
      </c>
      <c r="I150" s="5" t="inlineStr">
        <is>
          <t>N/A</t>
        </is>
      </c>
      <c r="J150" s="5" t="inlineStr">
        <is>
          <t>musical genre, literary genre, film genre</t>
        </is>
      </c>
      <c r="K150" s="5" t="inlineStr">
        <is>
          <t>Gốc Pháp, phát âm /ʒ/.</t>
        </is>
      </c>
      <c r="L150" s="6" t="inlineStr">
        <is>
          <t>Đang học</t>
        </is>
      </c>
    </row>
    <row r="151" ht="42" customHeight="1">
      <c r="A151" s="7" t="inlineStr">
        <is>
          <t>Arts &amp; Culture</t>
        </is>
      </c>
      <c r="B151" s="8" t="inlineStr">
        <is>
          <t>performance</t>
        </is>
      </c>
      <c r="C151" s="9" t="inlineStr">
        <is>
          <t>noun</t>
        </is>
      </c>
      <c r="D151" s="7" t="inlineStr">
        <is>
          <t>/pəˈfɔː.məns/</t>
        </is>
      </c>
      <c r="E151" s="10" t="inlineStr">
        <is>
          <t>Buổi biểu diễn nghệ thuật trước khán giả</t>
        </is>
      </c>
      <c r="F151" s="11" t="inlineStr">
        <is>
          <t>A2</t>
        </is>
      </c>
      <c r="G151" s="10" t="inlineStr">
        <is>
          <t>The orchestra gave an outstanding live performance yesterday.</t>
        </is>
      </c>
      <c r="H151" s="10" t="inlineStr">
        <is>
          <t>show, presentation, gig, recital</t>
        </is>
      </c>
      <c r="I151" s="10" t="inlineStr">
        <is>
          <t>rehearsal, practice</t>
        </is>
      </c>
      <c r="J151" s="10" t="inlineStr">
        <is>
          <t>live performance, give a performance, theatrical performance</t>
        </is>
      </c>
      <c r="K151" s="10" t="inlineStr">
        <is>
          <t>Động từ: perform.</t>
        </is>
      </c>
      <c r="L151" s="11" t="inlineStr">
        <is>
          <t>Đã thuộc</t>
        </is>
      </c>
    </row>
    <row r="152" ht="42" customHeight="1">
      <c r="A152" s="2" t="inlineStr">
        <is>
          <t>Arts &amp; Culture</t>
        </is>
      </c>
      <c r="B152" s="3" t="inlineStr">
        <is>
          <t>heritage</t>
        </is>
      </c>
      <c r="C152" s="4" t="inlineStr">
        <is>
          <t>noun</t>
        </is>
      </c>
      <c r="D152" s="2" t="inlineStr">
        <is>
          <t>/ˈher.ɪ.tɪdʒ/</t>
        </is>
      </c>
      <c r="E152" s="5" t="inlineStr">
        <is>
          <t>Di sản văn hóa truyền qua nhiều đời</t>
        </is>
      </c>
      <c r="F152" s="6" t="inlineStr">
        <is>
          <t>B1</t>
        </is>
      </c>
      <c r="G152" s="5" t="inlineStr">
        <is>
          <t>Preserving cultural heritage connects youth with historical roots.</t>
        </is>
      </c>
      <c r="H152" s="5" t="inlineStr">
        <is>
          <t>legacy, tradition, cultural inheritance</t>
        </is>
      </c>
      <c r="I152" s="5" t="inlineStr">
        <is>
          <t>modern innovation</t>
        </is>
      </c>
      <c r="J152" s="5" t="inlineStr">
        <is>
          <t>cultural heritage, tangible heritage, intangible heritage</t>
        </is>
      </c>
      <c r="K152" s="5" t="inlineStr">
        <is>
          <t>Di sản UNESCO.</t>
        </is>
      </c>
      <c r="L152" s="6" t="inlineStr">
        <is>
          <t>Đã thuộc</t>
        </is>
      </c>
    </row>
    <row r="153" ht="42" customHeight="1">
      <c r="A153" s="7" t="inlineStr">
        <is>
          <t>Arts &amp; Culture</t>
        </is>
      </c>
      <c r="B153" s="8" t="inlineStr">
        <is>
          <t>audition</t>
        </is>
      </c>
      <c r="C153" s="9" t="inlineStr">
        <is>
          <t>noun/verb</t>
        </is>
      </c>
      <c r="D153" s="7" t="inlineStr">
        <is>
          <t>/ɔːˈdɪʃ.ən/</t>
        </is>
      </c>
      <c r="E153" s="10" t="inlineStr">
        <is>
          <t>Buổi thử giọng, thử vai nghệ thuật</t>
        </is>
      </c>
      <c r="F153" s="11" t="inlineStr">
        <is>
          <t>B1</t>
        </is>
      </c>
      <c r="G153" s="10" t="inlineStr">
        <is>
          <t>Young actors queued outside the studio to audition for the lead role.</t>
        </is>
      </c>
      <c r="H153" s="10" t="inlineStr">
        <is>
          <t>tryout, trial performance, screen test</t>
        </is>
      </c>
      <c r="I153" s="10" t="inlineStr">
        <is>
          <t>N/A</t>
        </is>
      </c>
      <c r="J153" s="10" t="inlineStr">
        <is>
          <t>pass an audition, hold an audition, audition for a role</t>
        </is>
      </c>
      <c r="K153" s="10" t="inlineStr">
        <is>
          <t>Trọng âm 2: au-DI-tion.</t>
        </is>
      </c>
      <c r="L153" s="11" t="inlineStr">
        <is>
          <t>Đã thuộc</t>
        </is>
      </c>
    </row>
    <row r="154" ht="42" customHeight="1">
      <c r="A154" s="2" t="inlineStr">
        <is>
          <t>Arts &amp; Culture</t>
        </is>
      </c>
      <c r="B154" s="3" t="inlineStr">
        <is>
          <t>contemporary</t>
        </is>
      </c>
      <c r="C154" s="4" t="inlineStr">
        <is>
          <t>adjective</t>
        </is>
      </c>
      <c r="D154" s="2" t="inlineStr">
        <is>
          <t>/kənˈtem.pər.ər.i/</t>
        </is>
      </c>
      <c r="E154" s="5" t="inlineStr">
        <is>
          <t>Đương đại, thuộc về thời đại ngày nay</t>
        </is>
      </c>
      <c r="F154" s="6" t="inlineStr">
        <is>
          <t>B2</t>
        </is>
      </c>
      <c r="G154" s="5" t="inlineStr">
        <is>
          <t>The gallery specializes in contemporary art by living artists.</t>
        </is>
      </c>
      <c r="H154" s="5" t="inlineStr">
        <is>
          <t>modern, current, present-day</t>
        </is>
      </c>
      <c r="I154" s="5" t="inlineStr">
        <is>
          <t>ancient, traditional, classical</t>
        </is>
      </c>
      <c r="J154" s="5" t="inlineStr">
        <is>
          <t>contemporary art, contemporary society, contemporary music</t>
        </is>
      </c>
      <c r="K154" s="5" t="inlineStr">
        <is>
          <t>Trọng âm 2.</t>
        </is>
      </c>
      <c r="L154" s="6" t="inlineStr">
        <is>
          <t>Đang học</t>
        </is>
      </c>
    </row>
    <row r="155" ht="42" customHeight="1">
      <c r="A155" s="7" t="inlineStr">
        <is>
          <t>Arts &amp; Culture</t>
        </is>
      </c>
      <c r="B155" s="8" t="inlineStr">
        <is>
          <t>compose</t>
        </is>
      </c>
      <c r="C155" s="9" t="inlineStr">
        <is>
          <t>verb</t>
        </is>
      </c>
      <c r="D155" s="7" t="inlineStr">
        <is>
          <t>/kəmˈpəʊz/</t>
        </is>
      </c>
      <c r="E155" s="10" t="inlineStr">
        <is>
          <t>Sáng tác bản nhạc, ca khúc hoặc thơ</t>
        </is>
      </c>
      <c r="F155" s="11" t="inlineStr">
        <is>
          <t>B1</t>
        </is>
      </c>
      <c r="G155" s="10" t="inlineStr">
        <is>
          <t>Beethoven continued to compose symphonies after losing his hearing.</t>
        </is>
      </c>
      <c r="H155" s="10" t="inlineStr">
        <is>
          <t>write, create, produce, orchestrate</t>
        </is>
      </c>
      <c r="I155" s="10" t="inlineStr">
        <is>
          <t>plagiarize, copy</t>
        </is>
      </c>
      <c r="J155" s="10" t="inlineStr">
        <is>
          <t>compose music, compose a song, compose a symphony</t>
        </is>
      </c>
      <c r="K155" s="10" t="inlineStr">
        <is>
          <t>Nhạc sĩ: composer.</t>
        </is>
      </c>
      <c r="L155" s="11" t="inlineStr">
        <is>
          <t>Đã thuộc</t>
        </is>
      </c>
    </row>
    <row r="156" ht="42" customHeight="1">
      <c r="A156" s="2" t="inlineStr">
        <is>
          <t>Arts &amp; Culture</t>
        </is>
      </c>
      <c r="B156" s="3" t="inlineStr">
        <is>
          <t>ritual</t>
        </is>
      </c>
      <c r="C156" s="4" t="inlineStr">
        <is>
          <t>noun</t>
        </is>
      </c>
      <c r="D156" s="2" t="inlineStr">
        <is>
          <t>/ˈrɪtʃ.u.əl/</t>
        </is>
      </c>
      <c r="E156" s="5" t="inlineStr">
        <is>
          <t>Nghi lễ phong tục trang trọng truyền thống</t>
        </is>
      </c>
      <c r="F156" s="6" t="inlineStr">
        <is>
          <t>B2</t>
        </is>
      </c>
      <c r="G156" s="5" t="inlineStr">
        <is>
          <t>Lighting incense at the altar is a solemn spiritual ritual at Tet.</t>
        </is>
      </c>
      <c r="H156" s="5" t="inlineStr">
        <is>
          <t>ceremony, rite, sacred custom</t>
        </is>
      </c>
      <c r="I156" s="5" t="inlineStr">
        <is>
          <t>informality, casual habit</t>
        </is>
      </c>
      <c r="J156" s="5" t="inlineStr">
        <is>
          <t>religious ritual, traditional ritual, perform a ritual</t>
        </is>
      </c>
      <c r="K156" s="5" t="inlineStr">
        <is>
          <t>Tính từ: ritual dance.</t>
        </is>
      </c>
      <c r="L156" s="6" t="inlineStr">
        <is>
          <t>Đang học</t>
        </is>
      </c>
    </row>
    <row r="157" ht="42" customHeight="1">
      <c r="A157" s="7" t="inlineStr">
        <is>
          <t>Arts &amp; Culture</t>
        </is>
      </c>
      <c r="B157" s="8" t="inlineStr">
        <is>
          <t>audience</t>
        </is>
      </c>
      <c r="C157" s="9" t="inlineStr">
        <is>
          <t>noun</t>
        </is>
      </c>
      <c r="D157" s="7" t="inlineStr">
        <is>
          <t>/ˈɔː.di.əns/</t>
        </is>
      </c>
      <c r="E157" s="10" t="inlineStr">
        <is>
          <t>Khán thính giả xem biểu diễn nghệ thuật</t>
        </is>
      </c>
      <c r="F157" s="11" t="inlineStr">
        <is>
          <t>A2</t>
        </is>
      </c>
      <c r="G157" s="10" t="inlineStr">
        <is>
          <t>The enthusiastic audience applauded loudly at the end of the concert.</t>
        </is>
      </c>
      <c r="H157" s="10" t="inlineStr">
        <is>
          <t>spectators, viewers, listeners, crowd</t>
        </is>
      </c>
      <c r="I157" s="10" t="inlineStr">
        <is>
          <t>performers, actors</t>
        </is>
      </c>
      <c r="J157" s="10" t="inlineStr">
        <is>
          <t>target audience, large audience, attract an audience</t>
        </is>
      </c>
      <c r="K157" s="10" t="inlineStr">
        <is>
          <t>Spectators = khán giả thể thao.</t>
        </is>
      </c>
      <c r="L157" s="11" t="inlineStr">
        <is>
          <t>Đã thuộc</t>
        </is>
      </c>
    </row>
    <row r="158" ht="42" customHeight="1">
      <c r="A158" s="2" t="inlineStr">
        <is>
          <t>Arts &amp; Culture</t>
        </is>
      </c>
      <c r="B158" s="3" t="inlineStr">
        <is>
          <t>sculpture</t>
        </is>
      </c>
      <c r="C158" s="4" t="inlineStr">
        <is>
          <t>noun</t>
        </is>
      </c>
      <c r="D158" s="2" t="inlineStr">
        <is>
          <t>/ˈskʌlp.tʃər/</t>
        </is>
      </c>
      <c r="E158" s="5" t="inlineStr">
        <is>
          <t>Tác phẩm điêu khắc tượng tạc từ đá/gỗ</t>
        </is>
      </c>
      <c r="F158" s="6" t="inlineStr">
        <is>
          <t>B1</t>
        </is>
      </c>
      <c r="G158" s="5" t="inlineStr">
        <is>
          <t>Marble sculptures from ancient Rome are preserved in the gallery.</t>
        </is>
      </c>
      <c r="H158" s="5" t="inlineStr">
        <is>
          <t>statue, carving, modeled figure</t>
        </is>
      </c>
      <c r="I158" s="5" t="inlineStr">
        <is>
          <t>N/A</t>
        </is>
      </c>
      <c r="J158" s="5" t="inlineStr">
        <is>
          <t>marble sculpture, bronze sculpture, carve a sculpture</t>
        </is>
      </c>
      <c r="K158" s="5" t="inlineStr">
        <is>
          <t>Nhà điêu khắc: sculptor.</t>
        </is>
      </c>
      <c r="L158" s="6" t="inlineStr">
        <is>
          <t>Đã thuộc</t>
        </is>
      </c>
    </row>
    <row r="159" ht="42" customHeight="1">
      <c r="A159" s="7" t="inlineStr">
        <is>
          <t>Arts &amp; Culture</t>
        </is>
      </c>
      <c r="B159" s="8" t="inlineStr">
        <is>
          <t>acclaimed</t>
        </is>
      </c>
      <c r="C159" s="9" t="inlineStr">
        <is>
          <t>adjective</t>
        </is>
      </c>
      <c r="D159" s="7" t="inlineStr">
        <is>
          <t>/əˈkleɪmd/</t>
        </is>
      </c>
      <c r="E159" s="10" t="inlineStr">
        <is>
          <t>Được công chúng ca ngợi nhiệt liệt</t>
        </is>
      </c>
      <c r="F159" s="11" t="inlineStr">
        <is>
          <t>B2</t>
        </is>
      </c>
      <c r="G159" s="10" t="inlineStr">
        <is>
          <t>The critically acclaimed film won multiple awards at festivals.</t>
        </is>
      </c>
      <c r="H159" s="10" t="inlineStr">
        <is>
          <t>praised, celebrated, highly regarded</t>
        </is>
      </c>
      <c r="I159" s="10" t="inlineStr">
        <is>
          <t>criticized, panned, unknown</t>
        </is>
      </c>
      <c r="J159" s="10" t="inlineStr">
        <is>
          <t>critically acclaimed, internationally acclaimed, widely acclaimed</t>
        </is>
      </c>
      <c r="K159" s="10" t="inlineStr">
        <is>
          <t>Động từ: acclaim.</t>
        </is>
      </c>
      <c r="L159" s="11" t="inlineStr">
        <is>
          <t>Đang học</t>
        </is>
      </c>
    </row>
    <row r="160" ht="42" customHeight="1">
      <c r="A160" s="2" t="inlineStr">
        <is>
          <t>Arts &amp; Culture</t>
        </is>
      </c>
      <c r="B160" s="3" t="inlineStr">
        <is>
          <t>tradition</t>
        </is>
      </c>
      <c r="C160" s="4" t="inlineStr">
        <is>
          <t>noun</t>
        </is>
      </c>
      <c r="D160" s="2" t="inlineStr">
        <is>
          <t>/trəˈdɪʃ.ən/</t>
        </is>
      </c>
      <c r="E160" s="5" t="inlineStr">
        <is>
          <t>Truyền thống văn hóa lưu truyền qua nhiều đời</t>
        </is>
      </c>
      <c r="F160" s="6" t="inlineStr">
        <is>
          <t>A2</t>
        </is>
      </c>
      <c r="G160" s="5" t="inlineStr">
        <is>
          <t>It is a tradition to gather with family for reunion dinners at Tet.</t>
        </is>
      </c>
      <c r="H160" s="5" t="inlineStr">
        <is>
          <t>custom, heritage, long-standing practice</t>
        </is>
      </c>
      <c r="I160" s="5" t="inlineStr">
        <is>
          <t>novelty, modern trend</t>
        </is>
      </c>
      <c r="J160" s="5" t="inlineStr">
        <is>
          <t>long-standing tradition, keep a tradition alive, rich tradition</t>
        </is>
      </c>
      <c r="K160" s="5" t="inlineStr">
        <is>
          <t>Tính từ: traditional.</t>
        </is>
      </c>
      <c r="L160" s="6" t="inlineStr">
        <is>
          <t>Đã thuộc</t>
        </is>
      </c>
    </row>
    <row r="161" ht="42" customHeight="1">
      <c r="A161" s="7" t="inlineStr">
        <is>
          <t>Arts &amp; Culture</t>
        </is>
      </c>
      <c r="B161" s="8" t="inlineStr">
        <is>
          <t>lyrics</t>
        </is>
      </c>
      <c r="C161" s="9" t="inlineStr">
        <is>
          <t>noun</t>
        </is>
      </c>
      <c r="D161" s="7" t="inlineStr">
        <is>
          <t>/ˈlɪr.ɪks/</t>
        </is>
      </c>
      <c r="E161" s="10" t="inlineStr">
        <is>
          <t>Lời bài hát, ca từ bài hát</t>
        </is>
      </c>
      <c r="F161" s="11" t="inlineStr">
        <is>
          <t>B1</t>
        </is>
      </c>
      <c r="G161" s="10" t="inlineStr">
        <is>
          <t>The song's poetic lyrics convey a touching message about peace.</t>
        </is>
      </c>
      <c r="H161" s="10" t="inlineStr">
        <is>
          <t>words, song text, verse</t>
        </is>
      </c>
      <c r="I161" s="10" t="inlineStr">
        <is>
          <t>instrumental music</t>
        </is>
      </c>
      <c r="J161" s="10" t="inlineStr">
        <is>
          <t>song lyrics, write lyrics, poetic lyrics</t>
        </is>
      </c>
      <c r="K161" s="10" t="inlineStr">
        <is>
          <t>Người viết lời: lyricist.</t>
        </is>
      </c>
      <c r="L161" s="11" t="inlineStr">
        <is>
          <t>Đã thuộc</t>
        </is>
      </c>
    </row>
    <row r="162" ht="42" customHeight="1">
      <c r="A162" s="2" t="inlineStr">
        <is>
          <t>Arts &amp; Culture</t>
        </is>
      </c>
      <c r="B162" s="3" t="inlineStr">
        <is>
          <t>craftsman</t>
        </is>
      </c>
      <c r="C162" s="4" t="inlineStr">
        <is>
          <t>noun</t>
        </is>
      </c>
      <c r="D162" s="2" t="inlineStr">
        <is>
          <t>/ˈkrɑːfts.mən/</t>
        </is>
      </c>
      <c r="E162" s="5" t="inlineStr">
        <is>
          <t>Nghệ nhân, thợ thủ công lành nghề</t>
        </is>
      </c>
      <c r="F162" s="6" t="inlineStr">
        <is>
          <t>B2</t>
        </is>
      </c>
      <c r="G162" s="5" t="inlineStr">
        <is>
          <t>Skilled local craftsmen spent weeks hand-carving the temple doors.</t>
        </is>
      </c>
      <c r="H162" s="5" t="inlineStr">
        <is>
          <t>artisan, handcrafter, skilled maker</t>
        </is>
      </c>
      <c r="I162" s="5" t="inlineStr">
        <is>
          <t>unskilled laborer</t>
        </is>
      </c>
      <c r="J162" s="5" t="inlineStr">
        <is>
          <t>skilled craftsman, master craftsman, traditional craftsman</t>
        </is>
      </c>
      <c r="K162" s="5" t="inlineStr">
        <is>
          <t>Nghề thủ công: craftsmanship.</t>
        </is>
      </c>
      <c r="L162" s="6" t="inlineStr">
        <is>
          <t>Đang học</t>
        </is>
      </c>
    </row>
    <row r="163" ht="42" customHeight="1">
      <c r="A163" s="7" t="inlineStr">
        <is>
          <t>Arts &amp; Culture</t>
        </is>
      </c>
      <c r="B163" s="8" t="inlineStr">
        <is>
          <t>festival</t>
        </is>
      </c>
      <c r="C163" s="9" t="inlineStr">
        <is>
          <t>noun</t>
        </is>
      </c>
      <c r="D163" s="7" t="inlineStr">
        <is>
          <t>/ˈfes.tɪ.vəl/</t>
        </is>
      </c>
      <c r="E163" s="10" t="inlineStr">
        <is>
          <t>Lễ hội văn hóa hoặc liên hoan nghệ thuật</t>
        </is>
      </c>
      <c r="F163" s="11" t="inlineStr">
        <is>
          <t>A2</t>
        </is>
      </c>
      <c r="G163" s="10" t="inlineStr">
        <is>
          <t>The annual Mid-Autumn Festival is filled with lantern parades.</t>
        </is>
      </c>
      <c r="H163" s="10" t="inlineStr">
        <is>
          <t>celebration, carnival, gala</t>
        </is>
      </c>
      <c r="I163" s="10" t="inlineStr">
        <is>
          <t>N/A</t>
        </is>
      </c>
      <c r="J163" s="10" t="inlineStr">
        <is>
          <t>traditional festival, music festival, celebrate festival</t>
        </is>
      </c>
      <c r="K163" s="10" t="inlineStr">
        <is>
          <t>Tính từ: festive.</t>
        </is>
      </c>
      <c r="L163" s="11" t="inlineStr">
        <is>
          <t>Đã thuộc</t>
        </is>
      </c>
    </row>
    <row r="164" ht="42" customHeight="1">
      <c r="A164" s="2" t="inlineStr">
        <is>
          <t>Crime &amp; Social Issues</t>
        </is>
      </c>
      <c r="B164" s="3" t="inlineStr">
        <is>
          <t>offender</t>
        </is>
      </c>
      <c r="C164" s="4" t="inlineStr">
        <is>
          <t>noun</t>
        </is>
      </c>
      <c r="D164" s="2" t="inlineStr">
        <is>
          <t>/əˈfen.dər/</t>
        </is>
      </c>
      <c r="E164" s="5" t="inlineStr">
        <is>
          <t>Người phạm tội, kẻ vi phạm pháp luật</t>
        </is>
      </c>
      <c r="F164" s="6" t="inlineStr">
        <is>
          <t>B2</t>
        </is>
      </c>
      <c r="G164" s="5" t="inlineStr">
        <is>
          <t>First-time young offenders are often sentenced to community service.</t>
        </is>
      </c>
      <c r="H164" s="5" t="inlineStr">
        <is>
          <t>criminal, lawbreaker, wrongdoer</t>
        </is>
      </c>
      <c r="I164" s="5" t="inlineStr">
        <is>
          <t>victim, law-abiding citizen</t>
        </is>
      </c>
      <c r="J164" s="5" t="inlineStr">
        <is>
          <t>first-time offender, juvenile offender, repeat offender</t>
        </is>
      </c>
      <c r="K164" s="5" t="inlineStr">
        <is>
          <t>Động từ: offend. Danh từ: offense.</t>
        </is>
      </c>
      <c r="L164" s="6" t="inlineStr">
        <is>
          <t>Đang học</t>
        </is>
      </c>
    </row>
    <row r="165" ht="42" customHeight="1">
      <c r="A165" s="7" t="inlineStr">
        <is>
          <t>Crime &amp; Social Issues</t>
        </is>
      </c>
      <c r="B165" s="8" t="inlineStr">
        <is>
          <t>imprisonment</t>
        </is>
      </c>
      <c r="C165" s="9" t="inlineStr">
        <is>
          <t>noun</t>
        </is>
      </c>
      <c r="D165" s="7" t="inlineStr">
        <is>
          <t>/ɪmˈprɪz.ən.mənt/</t>
        </is>
      </c>
      <c r="E165" s="10" t="inlineStr">
        <is>
          <t>Hình phạt tù, sự giam giữ trong tù</t>
        </is>
      </c>
      <c r="F165" s="11" t="inlineStr">
        <is>
          <t>B2</t>
        </is>
      </c>
      <c r="G165" s="10" t="inlineStr">
        <is>
          <t>The official was sentenced to ten years of imprisonment for fraud.</t>
        </is>
      </c>
      <c r="H165" s="10" t="inlineStr">
        <is>
          <t>incarceration, custody, detention</t>
        </is>
      </c>
      <c r="I165" s="10" t="inlineStr">
        <is>
          <t>freedom, release, acquittal</t>
        </is>
      </c>
      <c r="J165" s="10" t="inlineStr">
        <is>
          <t>life imprisonment, sentenced to imprisonment</t>
        </is>
      </c>
      <c r="K165" s="10" t="inlineStr">
        <is>
          <t>Động từ: imprison.</t>
        </is>
      </c>
      <c r="L165" s="11" t="inlineStr">
        <is>
          <t>Đang học</t>
        </is>
      </c>
    </row>
    <row r="166" ht="42" customHeight="1">
      <c r="A166" s="2" t="inlineStr">
        <is>
          <t>Crime &amp; Social Issues</t>
        </is>
      </c>
      <c r="B166" s="3" t="inlineStr">
        <is>
          <t>deterrent</t>
        </is>
      </c>
      <c r="C166" s="4" t="inlineStr">
        <is>
          <t>noun</t>
        </is>
      </c>
      <c r="D166" s="2" t="inlineStr">
        <is>
          <t>/dɪˈter.ənt/</t>
        </is>
      </c>
      <c r="E166" s="5" t="inlineStr">
        <is>
          <t>Biện pháp răn đe ngăn chặn phạm pháp</t>
        </is>
      </c>
      <c r="F166" s="6" t="inlineStr">
        <is>
          <t>B2</t>
        </is>
      </c>
      <c r="G166" s="5" t="inlineStr">
        <is>
          <t>Security cameras act as an effective deterrent against street crime.</t>
        </is>
      </c>
      <c r="H166" s="5" t="inlineStr">
        <is>
          <t>disincentive, curb, discouragement</t>
        </is>
      </c>
      <c r="I166" s="5" t="inlineStr">
        <is>
          <t>incentive, encouragement</t>
        </is>
      </c>
      <c r="J166" s="5" t="inlineStr">
        <is>
          <t>effective deterrent, act as a deterrent, strong deterrent</t>
        </is>
      </c>
      <c r="K166" s="5" t="inlineStr">
        <is>
          <t>Động từ: deter from doing sth.</t>
        </is>
      </c>
      <c r="L166" s="6" t="inlineStr">
        <is>
          <t>Đang học</t>
        </is>
      </c>
    </row>
    <row r="167" ht="42" customHeight="1">
      <c r="A167" s="7" t="inlineStr">
        <is>
          <t>Crime &amp; Social Issues</t>
        </is>
      </c>
      <c r="B167" s="8" t="inlineStr">
        <is>
          <t>juvenile</t>
        </is>
      </c>
      <c r="C167" s="9" t="inlineStr">
        <is>
          <t>adjective/noun</t>
        </is>
      </c>
      <c r="D167" s="7" t="inlineStr">
        <is>
          <t>/ˈdʒuː.vən.aɪl/</t>
        </is>
      </c>
      <c r="E167" s="10" t="inlineStr">
        <is>
          <t>Vị thành niên chưa đến tuổi trưởng thành</t>
        </is>
      </c>
      <c r="F167" s="11" t="inlineStr">
        <is>
          <t>B2</t>
        </is>
      </c>
      <c r="G167" s="10" t="inlineStr">
        <is>
          <t>Counseling programs are designed specifically to handle juvenile crime.</t>
        </is>
      </c>
      <c r="H167" s="10" t="inlineStr">
        <is>
          <t>underage, adolescent, youthful</t>
        </is>
      </c>
      <c r="I167" s="10" t="inlineStr">
        <is>
          <t>adult, mature, grown-up</t>
        </is>
      </c>
      <c r="J167" s="10" t="inlineStr">
        <is>
          <t>juvenile delinquency, juvenile court, juvenile offender</t>
        </is>
      </c>
      <c r="K167" s="10" t="inlineStr">
        <is>
          <t>Juvenile delinquency = tội phạm tuổi trẻ.</t>
        </is>
      </c>
      <c r="L167" s="11" t="inlineStr">
        <is>
          <t>Đang học</t>
        </is>
      </c>
    </row>
    <row r="168" ht="42" customHeight="1">
      <c r="A168" s="2" t="inlineStr">
        <is>
          <t>Crime &amp; Social Issues</t>
        </is>
      </c>
      <c r="B168" s="3" t="inlineStr">
        <is>
          <t>rehabilitate</t>
        </is>
      </c>
      <c r="C168" s="4" t="inlineStr">
        <is>
          <t>verb</t>
        </is>
      </c>
      <c r="D168" s="2" t="inlineStr">
        <is>
          <t>/ˌriː.həˈbɪl.ɪ.teɪt/</t>
        </is>
      </c>
      <c r="E168" s="5" t="inlineStr">
        <is>
          <t>Cải tạo giáo dục phục hồi nhân phẩm phạm nhân</t>
        </is>
      </c>
      <c r="F168" s="6" t="inlineStr">
        <is>
          <t>B2</t>
        </is>
      </c>
      <c r="G168" s="5" t="inlineStr">
        <is>
          <t>Prisons should aim to rehabilitate inmates through job training.</t>
        </is>
      </c>
      <c r="H168" s="5" t="inlineStr">
        <is>
          <t>reform, reintegrate, re-educate</t>
        </is>
      </c>
      <c r="I168" s="5" t="inlineStr">
        <is>
          <t>punish purely, alienate</t>
        </is>
      </c>
      <c r="J168" s="5" t="inlineStr">
        <is>
          <t>rehabilitate criminals, rehabilitate offenders</t>
        </is>
      </c>
      <c r="K168" s="5" t="inlineStr">
        <is>
          <t>Danh từ: rehabilitation.</t>
        </is>
      </c>
      <c r="L168" s="6" t="inlineStr">
        <is>
          <t>Đang học</t>
        </is>
      </c>
    </row>
    <row r="169" ht="42" customHeight="1">
      <c r="A169" s="7" t="inlineStr">
        <is>
          <t>Crime &amp; Social Issues</t>
        </is>
      </c>
      <c r="B169" s="8" t="inlineStr">
        <is>
          <t>burglary</t>
        </is>
      </c>
      <c r="C169" s="9" t="inlineStr">
        <is>
          <t>noun</t>
        </is>
      </c>
      <c r="D169" s="7" t="inlineStr">
        <is>
          <t>/ˈbɜː.ɡlər.i/</t>
        </is>
      </c>
      <c r="E169" s="10" t="inlineStr">
        <is>
          <t>Tội đột nhập trộm cắp nhà ở</t>
        </is>
      </c>
      <c r="F169" s="11" t="inlineStr">
        <is>
          <t>B1</t>
        </is>
      </c>
      <c r="G169" s="10" t="inlineStr">
        <is>
          <t>Homeowners installed alarm systems to protect against burglary.</t>
        </is>
      </c>
      <c r="H169" s="10" t="inlineStr">
        <is>
          <t>break-in, housebreaking, theft</t>
        </is>
      </c>
      <c r="I169" s="10" t="inlineStr">
        <is>
          <t>N/A</t>
        </is>
      </c>
      <c r="J169" s="10" t="inlineStr">
        <is>
          <t>commit a burglary, victim of burglary, report burglary</t>
        </is>
      </c>
      <c r="K169" s="10" t="inlineStr">
        <is>
          <t>Kẻ trộm: burglar. Động từ: burgle.</t>
        </is>
      </c>
      <c r="L169" s="11" t="inlineStr">
        <is>
          <t>Đã thuộc</t>
        </is>
      </c>
    </row>
    <row r="170" ht="42" customHeight="1">
      <c r="A170" s="2" t="inlineStr">
        <is>
          <t>Crime &amp; Social Issues</t>
        </is>
      </c>
      <c r="B170" s="3" t="inlineStr">
        <is>
          <t>prosecute</t>
        </is>
      </c>
      <c r="C170" s="4" t="inlineStr">
        <is>
          <t>verb</t>
        </is>
      </c>
      <c r="D170" s="2" t="inlineStr">
        <is>
          <t>/ˈprɒs.ɪ.kjuːt/</t>
        </is>
      </c>
      <c r="E170" s="5" t="inlineStr">
        <is>
          <t>Khởi tố, truy tố ra trước tòa án</t>
        </is>
      </c>
      <c r="F170" s="6" t="inlineStr">
        <is>
          <t>B2</t>
        </is>
      </c>
      <c r="G170" s="5" t="inlineStr">
        <is>
          <t>Shoplifters will be formally prosecuted to the full extent of the law.</t>
        </is>
      </c>
      <c r="H170" s="5" t="inlineStr">
        <is>
          <t>bring to court, sue, put on trial</t>
        </is>
      </c>
      <c r="I170" s="5" t="inlineStr">
        <is>
          <t>pardon, acquit, drop charges</t>
        </is>
      </c>
      <c r="J170" s="5" t="inlineStr">
        <is>
          <t>prosecute a case, threaten to prosecute, prosecute offenders</t>
        </is>
      </c>
      <c r="K170" s="5" t="inlineStr">
        <is>
          <t>Công tố viên: prosecutor.</t>
        </is>
      </c>
      <c r="L170" s="6" t="inlineStr">
        <is>
          <t>Đang học</t>
        </is>
      </c>
    </row>
    <row r="171" ht="42" customHeight="1">
      <c r="A171" s="7" t="inlineStr">
        <is>
          <t>Crime &amp; Social Issues</t>
        </is>
      </c>
      <c r="B171" s="8" t="inlineStr">
        <is>
          <t>poverty</t>
        </is>
      </c>
      <c r="C171" s="9" t="inlineStr">
        <is>
          <t>noun</t>
        </is>
      </c>
      <c r="D171" s="7" t="inlineStr">
        <is>
          <t>/ˈpɒv.ə.ti/</t>
        </is>
      </c>
      <c r="E171" s="10" t="inlineStr">
        <is>
          <t>Sự nghèo đói thiếu thốn điều kiện sống</t>
        </is>
      </c>
      <c r="F171" s="11" t="inlineStr">
        <is>
          <t>B1</t>
        </is>
      </c>
      <c r="G171" s="10" t="inlineStr">
        <is>
          <t>Free education is the most sustainable strategy to break poverty.</t>
        </is>
      </c>
      <c r="H171" s="10" t="inlineStr">
        <is>
          <t>deprivation, destitution, indigence</t>
        </is>
      </c>
      <c r="I171" s="10" t="inlineStr">
        <is>
          <t>wealth, affluence, prosperity</t>
        </is>
      </c>
      <c r="J171" s="10" t="inlineStr">
        <is>
          <t>eradicate poverty, live in poverty, poverty line</t>
        </is>
      </c>
      <c r="K171" s="10" t="inlineStr">
        <is>
          <t>Tính từ: poor.</t>
        </is>
      </c>
      <c r="L171" s="11" t="inlineStr">
        <is>
          <t>Đã thuộc</t>
        </is>
      </c>
    </row>
    <row r="172" ht="42" customHeight="1">
      <c r="A172" s="2" t="inlineStr">
        <is>
          <t>Crime &amp; Social Issues</t>
        </is>
      </c>
      <c r="B172" s="3" t="inlineStr">
        <is>
          <t>cyberbullying</t>
        </is>
      </c>
      <c r="C172" s="4" t="inlineStr">
        <is>
          <t>noun</t>
        </is>
      </c>
      <c r="D172" s="2" t="inlineStr">
        <is>
          <t>/ˈsaɪ.bəˌbʊl.i.ɪŋ/</t>
        </is>
      </c>
      <c r="E172" s="5" t="inlineStr">
        <is>
          <t>Bắt nạt qua mạng xã hội</t>
        </is>
      </c>
      <c r="F172" s="6" t="inlineStr">
        <is>
          <t>B1</t>
        </is>
      </c>
      <c r="G172" s="5" t="inlineStr">
        <is>
          <t>Schools must educate students on ethics to prevent cyberbullying.</t>
        </is>
      </c>
      <c r="H172" s="5" t="inlineStr">
        <is>
          <t>online harassment, internet bullying</t>
        </is>
      </c>
      <c r="I172" s="5" t="inlineStr">
        <is>
          <t>online empathy, digital kindness</t>
        </is>
      </c>
      <c r="J172" s="5" t="inlineStr">
        <is>
          <t>victim of cyberbullying, stop cyberbullying, combat cyberbullying</t>
        </is>
      </c>
      <c r="K172" s="5" t="inlineStr">
        <is>
          <t>Kẻ bắt nạt: cyberbully.</t>
        </is>
      </c>
      <c r="L172" s="6" t="inlineStr">
        <is>
          <t>Đã thuộc</t>
        </is>
      </c>
    </row>
    <row r="173" ht="42" customHeight="1">
      <c r="A173" s="7" t="inlineStr">
        <is>
          <t>Crime &amp; Social Issues</t>
        </is>
      </c>
      <c r="B173" s="8" t="inlineStr">
        <is>
          <t>domestic violence</t>
        </is>
      </c>
      <c r="C173" s="9" t="inlineStr">
        <is>
          <t>noun phrase</t>
        </is>
      </c>
      <c r="D173" s="7" t="inlineStr">
        <is>
          <t>/dəˌmes.tɪk ˈvaɪə.ləns/</t>
        </is>
      </c>
      <c r="E173" s="10" t="inlineStr">
        <is>
          <t>Bạo lực gia đình giữa các thành viên</t>
        </is>
      </c>
      <c r="F173" s="11" t="inlineStr">
        <is>
          <t>B1</t>
        </is>
      </c>
      <c r="G173" s="10" t="inlineStr">
        <is>
          <t>Hotlines provide shelter for victims of domestic violence.</t>
        </is>
      </c>
      <c r="H173" s="10" t="inlineStr">
        <is>
          <t>family abuse, spousal violence</t>
        </is>
      </c>
      <c r="I173" s="10" t="inlineStr">
        <is>
          <t>family harmony, peaceful home</t>
        </is>
      </c>
      <c r="J173" s="10" t="inlineStr">
        <is>
          <t>suffer domestic violence, prevent domestic violence</t>
        </is>
      </c>
      <c r="K173" s="10" t="inlineStr">
        <is>
          <t>Domestic (gia đình) + violence.</t>
        </is>
      </c>
      <c r="L173" s="11" t="inlineStr">
        <is>
          <t>Đã thuộc</t>
        </is>
      </c>
    </row>
    <row r="174" ht="42" customHeight="1">
      <c r="A174" s="2" t="inlineStr">
        <is>
          <t>Crime &amp; Social Issues</t>
        </is>
      </c>
      <c r="B174" s="3" t="inlineStr">
        <is>
          <t>legislation</t>
        </is>
      </c>
      <c r="C174" s="4" t="inlineStr">
        <is>
          <t>noun</t>
        </is>
      </c>
      <c r="D174" s="2" t="inlineStr">
        <is>
          <t>/ˌledʒ.ɪˈsleɪ.ʃən/</t>
        </is>
      </c>
      <c r="E174" s="5" t="inlineStr">
        <is>
          <t>Pháp luật được ban hành bởi quốc hội</t>
        </is>
      </c>
      <c r="F174" s="6" t="inlineStr">
        <is>
          <t>B2</t>
        </is>
      </c>
      <c r="G174" s="5" t="inlineStr">
        <is>
          <t>New legislation was enacted to impose heavy fines on polluters.</t>
        </is>
      </c>
      <c r="H174" s="5" t="inlineStr">
        <is>
          <t>law, statutes, legal regulations</t>
        </is>
      </c>
      <c r="I174" s="5" t="inlineStr">
        <is>
          <t>lawlessness, anarchy</t>
        </is>
      </c>
      <c r="J174" s="5" t="inlineStr">
        <is>
          <t>pass legislation, introduce legislation, enforce legislation</t>
        </is>
      </c>
      <c r="K174" s="5" t="inlineStr">
        <is>
          <t>Động từ: legislate.</t>
        </is>
      </c>
      <c r="L174" s="6" t="inlineStr">
        <is>
          <t>Đang học</t>
        </is>
      </c>
    </row>
    <row r="175" ht="42" customHeight="1">
      <c r="A175" s="7" t="inlineStr">
        <is>
          <t>Crime &amp; Social Issues</t>
        </is>
      </c>
      <c r="B175" s="8" t="inlineStr">
        <is>
          <t>vandalism</t>
        </is>
      </c>
      <c r="C175" s="9" t="inlineStr">
        <is>
          <t>noun</t>
        </is>
      </c>
      <c r="D175" s="7" t="inlineStr">
        <is>
          <t>/ˈvæn.dəl.ɪ.zəm/</t>
        </is>
      </c>
      <c r="E175" s="10" t="inlineStr">
        <is>
          <t>Hành vi phá hoại tài sản công cộng</t>
        </is>
      </c>
      <c r="F175" s="11" t="inlineStr">
        <is>
          <t>B2</t>
        </is>
      </c>
      <c r="G175" s="10" t="inlineStr">
        <is>
          <t>The local park suffered from vandalism, with smashed benches.</t>
        </is>
      </c>
      <c r="H175" s="10" t="inlineStr">
        <is>
          <t>property destruction, defacement</t>
        </is>
      </c>
      <c r="I175" s="10" t="inlineStr">
        <is>
          <t>preservation, civic protection</t>
        </is>
      </c>
      <c r="J175" s="10" t="inlineStr">
        <is>
          <t>act of vandalism, combat vandalism, mindless vandalism</t>
        </is>
      </c>
      <c r="K175" s="10" t="inlineStr">
        <is>
          <t>Kẻ phá hoại: vandal.</t>
        </is>
      </c>
      <c r="L175" s="11" t="inlineStr">
        <is>
          <t>Đang học</t>
        </is>
      </c>
    </row>
    <row r="176" ht="42" customHeight="1">
      <c r="A176" s="2" t="inlineStr">
        <is>
          <t>Crime &amp; Social Issues</t>
        </is>
      </c>
      <c r="B176" s="3" t="inlineStr">
        <is>
          <t>witness</t>
        </is>
      </c>
      <c r="C176" s="4" t="inlineStr">
        <is>
          <t>noun/verb</t>
        </is>
      </c>
      <c r="D176" s="2" t="inlineStr">
        <is>
          <t>/ˈwɪt.nəs/</t>
        </is>
      </c>
      <c r="E176" s="5" t="inlineStr">
        <is>
          <t>Nhân chứng nhìn thấy vụ việc / Chứng kiến</t>
        </is>
      </c>
      <c r="F176" s="6" t="inlineStr">
        <is>
          <t>B1</t>
        </is>
      </c>
      <c r="G176" s="5" t="inlineStr">
        <is>
          <t>Police appealed for eyewitnesses who saw the traffic accident.</t>
        </is>
      </c>
      <c r="H176" s="5" t="inlineStr">
        <is>
          <t>bystander, onlooker, observer</t>
        </is>
      </c>
      <c r="I176" s="5" t="inlineStr">
        <is>
          <t>N/A</t>
        </is>
      </c>
      <c r="J176" s="5" t="inlineStr">
        <is>
          <t>eyewitness, witness a crime, call a witness</t>
        </is>
      </c>
      <c r="K176" s="5" t="inlineStr">
        <is>
          <t>Eyewitness = nhân chứng tận mắt.</t>
        </is>
      </c>
      <c r="L176" s="6" t="inlineStr">
        <is>
          <t>Đã thuộc</t>
        </is>
      </c>
    </row>
    <row r="177" ht="42" customHeight="1">
      <c r="A177" s="7" t="inlineStr">
        <is>
          <t>Crime &amp; Social Issues</t>
        </is>
      </c>
      <c r="B177" s="8" t="inlineStr">
        <is>
          <t>guilty</t>
        </is>
      </c>
      <c r="C177" s="9" t="inlineStr">
        <is>
          <t>adjective</t>
        </is>
      </c>
      <c r="D177" s="7" t="inlineStr">
        <is>
          <t>/ˈɡɪl.ti/</t>
        </is>
      </c>
      <c r="E177" s="10" t="inlineStr">
        <is>
          <t>Có tội theo phán quyết của tòa / Cảm giác tội lỗi</t>
        </is>
      </c>
      <c r="F177" s="11" t="inlineStr">
        <is>
          <t>A2</t>
        </is>
      </c>
      <c r="G177" s="10" t="inlineStr">
        <is>
          <t>The jury found the defendant guilty of financial fraud.</t>
        </is>
      </c>
      <c r="H177" s="10" t="inlineStr">
        <is>
          <t>culpable, blameworthy, convicted</t>
        </is>
      </c>
      <c r="I177" s="10" t="inlineStr">
        <is>
          <t>innocent, blameless, acquitted</t>
        </is>
      </c>
      <c r="J177" s="10" t="inlineStr">
        <is>
          <t>plead guilty, found guilty, feel guilty about</t>
        </is>
      </c>
      <c r="K177" s="10" t="inlineStr">
        <is>
          <t>Danh từ: guilt /ɡɪlt/.</t>
        </is>
      </c>
      <c r="L177" s="11" t="inlineStr">
        <is>
          <t>Đã thuộc</t>
        </is>
      </c>
    </row>
    <row r="178" ht="42" customHeight="1">
      <c r="A178" s="2" t="inlineStr">
        <is>
          <t>Crime &amp; Social Issues</t>
        </is>
      </c>
      <c r="B178" s="3" t="inlineStr">
        <is>
          <t>innocent</t>
        </is>
      </c>
      <c r="C178" s="4" t="inlineStr">
        <is>
          <t>adjective</t>
        </is>
      </c>
      <c r="D178" s="2" t="inlineStr">
        <is>
          <t>/ˈɪn.ə.sənt/</t>
        </is>
      </c>
      <c r="E178" s="5" t="inlineStr">
        <is>
          <t>Vô tội, không phạm tội</t>
        </is>
      </c>
      <c r="F178" s="6" t="inlineStr">
        <is>
          <t>A2</t>
        </is>
      </c>
      <c r="G178" s="5" t="inlineStr">
        <is>
          <t>A person is presumed innocent until proven guilty in court.</t>
        </is>
      </c>
      <c r="H178" s="5" t="inlineStr">
        <is>
          <t>guiltless, blameless, clear</t>
        </is>
      </c>
      <c r="I178" s="5" t="inlineStr">
        <is>
          <t>guilty, culpable, convicted</t>
        </is>
      </c>
      <c r="J178" s="5" t="inlineStr">
        <is>
          <t>presumed innocent, completely innocent, prove innocent</t>
        </is>
      </c>
      <c r="K178" s="5" t="inlineStr">
        <is>
          <t>Danh từ: innocence.</t>
        </is>
      </c>
      <c r="L178" s="6" t="inlineStr">
        <is>
          <t>Đã thuộc</t>
        </is>
      </c>
    </row>
    <row r="179" ht="42" customHeight="1">
      <c r="A179" s="7" t="inlineStr">
        <is>
          <t>Crime &amp; Social Issues</t>
        </is>
      </c>
      <c r="B179" s="8" t="inlineStr">
        <is>
          <t>petty crime</t>
        </is>
      </c>
      <c r="C179" s="9" t="inlineStr">
        <is>
          <t>noun phrase</t>
        </is>
      </c>
      <c r="D179" s="7" t="inlineStr">
        <is>
          <t>/ˈpet.i kraɪm/</t>
        </is>
      </c>
      <c r="E179" s="10" t="inlineStr">
        <is>
          <t>Tội phạm vặt (móc túi, trộm nhỏ)</t>
        </is>
      </c>
      <c r="F179" s="11" t="inlineStr">
        <is>
          <t>B1</t>
        </is>
      </c>
      <c r="G179" s="10" t="inlineStr">
        <is>
          <t>Tourists should watch bags in markets to avoid petty crime.</t>
        </is>
      </c>
      <c r="H179" s="10" t="inlineStr">
        <is>
          <t>minor offense, small theft</t>
        </is>
      </c>
      <c r="I179" s="10" t="inlineStr">
        <is>
          <t>violent crime, major felony</t>
        </is>
      </c>
      <c r="J179" s="10" t="inlineStr">
        <is>
          <t>victim of petty crime, rise in petty crime, tackle petty crime</t>
        </is>
      </c>
      <c r="K179" s="10" t="inlineStr">
        <is>
          <t>Petty = nhỏ nhặt.</t>
        </is>
      </c>
      <c r="L179" s="11" t="inlineStr">
        <is>
          <t>Đã thuộc</t>
        </is>
      </c>
    </row>
    <row r="180" ht="42" customHeight="1">
      <c r="A180" s="2" t="inlineStr">
        <is>
          <t>Crime &amp; Social Issues</t>
        </is>
      </c>
      <c r="B180" s="3" t="inlineStr">
        <is>
          <t>surveillance</t>
        </is>
      </c>
      <c r="C180" s="4" t="inlineStr">
        <is>
          <t>noun</t>
        </is>
      </c>
      <c r="D180" s="2" t="inlineStr">
        <is>
          <t>/sɜːˈveɪ.ləns/</t>
        </is>
      </c>
      <c r="E180" s="5" t="inlineStr">
        <is>
          <t>Sự giám sát an ninh bằng camera</t>
        </is>
      </c>
      <c r="F180" s="6" t="inlineStr">
        <is>
          <t>B2</t>
        </is>
      </c>
      <c r="G180" s="5" t="inlineStr">
        <is>
          <t>The mall is equipped with 24-hour CCTV surveillance.</t>
        </is>
      </c>
      <c r="H180" s="5" t="inlineStr">
        <is>
          <t>monitoring, observation, watch</t>
        </is>
      </c>
      <c r="I180" s="5" t="inlineStr">
        <is>
          <t>neglect, unobserved area</t>
        </is>
      </c>
      <c r="J180" s="5" t="inlineStr">
        <is>
          <t>CCTV surveillance, under surveillance, security surveillance</t>
        </is>
      </c>
      <c r="K180" s="5" t="inlineStr">
        <is>
          <t>Cụm: under surveillance.</t>
        </is>
      </c>
      <c r="L180" s="6" t="inlineStr">
        <is>
          <t>Đang học</t>
        </is>
      </c>
    </row>
    <row r="181" ht="42" customHeight="1">
      <c r="A181" s="7" t="inlineStr">
        <is>
          <t>Crime &amp; Social Issues</t>
        </is>
      </c>
      <c r="B181" s="8" t="inlineStr">
        <is>
          <t>community service</t>
        </is>
      </c>
      <c r="C181" s="9" t="inlineStr">
        <is>
          <t>noun phrase</t>
        </is>
      </c>
      <c r="D181" s="7" t="inlineStr">
        <is>
          <t>/kəˈmjuː.nə.ti ˌsɜː.vɪs/</t>
        </is>
      </c>
      <c r="E181" s="10" t="inlineStr">
        <is>
          <t>Hình phạt lao động công ích phục vụ xã hội</t>
        </is>
      </c>
      <c r="F181" s="11" t="inlineStr">
        <is>
          <t>B1</t>
        </is>
      </c>
      <c r="G181" s="10" t="inlineStr">
        <is>
          <t>Instead of jail, the teen was ordered to do community service.</t>
        </is>
      </c>
      <c r="H181" s="10" t="inlineStr">
        <is>
          <t>unpaid public work, community penalty</t>
        </is>
      </c>
      <c r="I181" s="10" t="inlineStr">
        <is>
          <t>prison sentence, incarceration</t>
        </is>
      </c>
      <c r="J181" s="10" t="inlineStr">
        <is>
          <t>sentence to community service, do community service</t>
        </is>
      </c>
      <c r="K181" s="10" t="inlineStr">
        <is>
          <t>Án phạt thay thế tù giam.</t>
        </is>
      </c>
      <c r="L181" s="11" t="inlineStr">
        <is>
          <t>Đã thuộc</t>
        </is>
      </c>
    </row>
    <row r="182" ht="42" customHeight="1">
      <c r="A182" s="2" t="inlineStr">
        <is>
          <t>Shopping &amp; Money</t>
        </is>
      </c>
      <c r="B182" s="3" t="inlineStr">
        <is>
          <t>consumerism</t>
        </is>
      </c>
      <c r="C182" s="4" t="inlineStr">
        <is>
          <t>noun</t>
        </is>
      </c>
      <c r="D182" s="2" t="inlineStr">
        <is>
          <t>/kənˈsjuː.mə.rɪ.zəm/</t>
        </is>
      </c>
      <c r="E182" s="5" t="inlineStr">
        <is>
          <t>Chủ nghĩa tiêu dùng mua sắm liên tục</t>
        </is>
      </c>
      <c r="F182" s="6" t="inlineStr">
        <is>
          <t>B2</t>
        </is>
      </c>
      <c r="G182" s="5" t="inlineStr">
        <is>
          <t>Critics argue that advertising promotes consumerism and waste.</t>
        </is>
      </c>
      <c r="H182" s="5" t="inlineStr">
        <is>
          <t>materialism, shopping culture, overconsumption</t>
        </is>
      </c>
      <c r="I182" s="5" t="inlineStr">
        <is>
          <t>minimalism, frugality</t>
        </is>
      </c>
      <c r="J182" s="5" t="inlineStr">
        <is>
          <t>rampant consumerism, fuel consumerism, culture of consumerism</t>
        </is>
      </c>
      <c r="K182" s="5" t="inlineStr">
        <is>
          <t>Người tiêu dùng: consumer.</t>
        </is>
      </c>
      <c r="L182" s="6" t="inlineStr">
        <is>
          <t>Đang học</t>
        </is>
      </c>
    </row>
    <row r="183" ht="42" customHeight="1">
      <c r="A183" s="7" t="inlineStr">
        <is>
          <t>Shopping &amp; Money</t>
        </is>
      </c>
      <c r="B183" s="8" t="inlineStr">
        <is>
          <t>bargain</t>
        </is>
      </c>
      <c r="C183" s="9" t="inlineStr">
        <is>
          <t>noun/verb</t>
        </is>
      </c>
      <c r="D183" s="7" t="inlineStr">
        <is>
          <t>/ˈbɑː.ɡɪn/</t>
        </is>
      </c>
      <c r="E183" s="10" t="inlineStr">
        <is>
          <t>Món hời giá rẻ / Mặc cả trả giá</t>
        </is>
      </c>
      <c r="F183" s="11" t="inlineStr">
        <is>
          <t>B1</t>
        </is>
      </c>
      <c r="G183" s="10" t="inlineStr">
        <is>
          <t>You can find great bargains at traditional street markets.</t>
        </is>
      </c>
      <c r="H183" s="10" t="inlineStr">
        <is>
          <t>good deal, discount buy; haggle</t>
        </is>
      </c>
      <c r="I183" s="10" t="inlineStr">
        <is>
          <t>rip-off, overpriced item</t>
        </is>
      </c>
      <c r="J183" s="10" t="inlineStr">
        <is>
          <t>bargain hunter, get a bargain, bargain for a price</t>
        </is>
      </c>
      <c r="K183" s="10" t="inlineStr">
        <is>
          <t>Phát âm đuôi: /-ɡɪn/.</t>
        </is>
      </c>
      <c r="L183" s="11" t="inlineStr">
        <is>
          <t>Đã thuộc</t>
        </is>
      </c>
    </row>
    <row r="184" ht="42" customHeight="1">
      <c r="A184" s="2" t="inlineStr">
        <is>
          <t>Shopping &amp; Money</t>
        </is>
      </c>
      <c r="B184" s="3" t="inlineStr">
        <is>
          <t>discount</t>
        </is>
      </c>
      <c r="C184" s="4" t="inlineStr">
        <is>
          <t>noun/verb</t>
        </is>
      </c>
      <c r="D184" s="2" t="inlineStr">
        <is>
          <t>/ˈdɪs.kaʊnt/</t>
        </is>
      </c>
      <c r="E184" s="5" t="inlineStr">
        <is>
          <t>Mức giảm giá chiết khấu / Giảm giá</t>
        </is>
      </c>
      <c r="F184" s="6" t="inlineStr">
        <is>
          <t>A2</t>
        </is>
      </c>
      <c r="G184" s="5" t="inlineStr">
        <is>
          <t>The bookstore offers a 15% student discount on textbooks.</t>
        </is>
      </c>
      <c r="H184" s="5" t="inlineStr">
        <is>
          <t>price reduction, rebate, markdown</t>
        </is>
      </c>
      <c r="I184" s="5" t="inlineStr">
        <is>
          <t>markup, price increase</t>
        </is>
      </c>
      <c r="J184" s="5" t="inlineStr">
        <is>
          <t>student discount, offer a discount, discount code</t>
        </is>
      </c>
      <c r="K184" s="5" t="inlineStr">
        <is>
          <t>Danh từ nhấn âm 1.</t>
        </is>
      </c>
      <c r="L184" s="6" t="inlineStr">
        <is>
          <t>Đã thuộc</t>
        </is>
      </c>
    </row>
    <row r="185" ht="42" customHeight="1">
      <c r="A185" s="7" t="inlineStr">
        <is>
          <t>Shopping &amp; Money</t>
        </is>
      </c>
      <c r="B185" s="8" t="inlineStr">
        <is>
          <t>refund</t>
        </is>
      </c>
      <c r="C185" s="9" t="inlineStr">
        <is>
          <t>noun/verb</t>
        </is>
      </c>
      <c r="D185" s="7" t="inlineStr">
        <is>
          <t>/ˈriː.fʌnd/</t>
        </is>
      </c>
      <c r="E185" s="10" t="inlineStr">
        <is>
          <t>Tiền hoàn trả lại khi hàng lỗi / Hoàn tiền</t>
        </is>
      </c>
      <c r="F185" s="11" t="inlineStr">
        <is>
          <t>B1</t>
        </is>
      </c>
      <c r="G185" s="10" t="inlineStr">
        <is>
          <t>Unsatisfied customers can request a full refund within thirty days.</t>
        </is>
      </c>
      <c r="H185" s="10" t="inlineStr">
        <is>
          <t>reimbursement, repayment, money back</t>
        </is>
      </c>
      <c r="I185" s="10" t="inlineStr">
        <is>
          <t>payment, charge</t>
        </is>
      </c>
      <c r="J185" s="10" t="inlineStr">
        <is>
          <t>full refund, ask for a refund, give a refund</t>
        </is>
      </c>
      <c r="K185" s="10" t="inlineStr">
        <is>
          <t>Danh từ âm 1, động từ âm 2.</t>
        </is>
      </c>
      <c r="L185" s="11" t="inlineStr">
        <is>
          <t>Đã thuộc</t>
        </is>
      </c>
    </row>
    <row r="186" ht="42" customHeight="1">
      <c r="A186" s="2" t="inlineStr">
        <is>
          <t>Shopping &amp; Money</t>
        </is>
      </c>
      <c r="B186" s="3" t="inlineStr">
        <is>
          <t>receipt</t>
        </is>
      </c>
      <c r="C186" s="4" t="inlineStr">
        <is>
          <t>noun</t>
        </is>
      </c>
      <c r="D186" s="2" t="inlineStr">
        <is>
          <t>/rɪˈsiːt/</t>
        </is>
      </c>
      <c r="E186" s="5" t="inlineStr">
        <is>
          <t>Hóa đơn thanh toán, biên lai thu tiền</t>
        </is>
      </c>
      <c r="F186" s="6" t="inlineStr">
        <is>
          <t>A2</t>
        </is>
      </c>
      <c r="G186" s="5" t="inlineStr">
        <is>
          <t>Keep your sales receipt in case you need to exchange the item.</t>
        </is>
      </c>
      <c r="H186" s="5" t="inlineStr">
        <is>
          <t>bill, proof of purchase, sales slip</t>
        </is>
      </c>
      <c r="I186" s="5" t="inlineStr">
        <is>
          <t>N/A</t>
        </is>
      </c>
      <c r="J186" s="5" t="inlineStr">
        <is>
          <t>keep the receipt, sales receipt, payment receipt</t>
        </is>
      </c>
      <c r="K186" s="5" t="inlineStr">
        <is>
          <t>Chữ 'p' hoàn toàn câm: /rɪˈsiːt/.</t>
        </is>
      </c>
      <c r="L186" s="6" t="inlineStr">
        <is>
          <t>Đã thuộc</t>
        </is>
      </c>
    </row>
    <row r="187" ht="42" customHeight="1">
      <c r="A187" s="7" t="inlineStr">
        <is>
          <t>Shopping &amp; Money</t>
        </is>
      </c>
      <c r="B187" s="8" t="inlineStr">
        <is>
          <t>budget</t>
        </is>
      </c>
      <c r="C187" s="9" t="inlineStr">
        <is>
          <t>noun/verb</t>
        </is>
      </c>
      <c r="D187" s="7" t="inlineStr">
        <is>
          <t>/ˈbʌdʒ.ɪt/</t>
        </is>
      </c>
      <c r="E187" s="10" t="inlineStr">
        <is>
          <t>Ngân sách chi tiêu / Lên kế hoạch chi tiêu</t>
        </is>
      </c>
      <c r="F187" s="11" t="inlineStr">
        <is>
          <t>B1</t>
        </is>
      </c>
      <c r="G187" s="10" t="inlineStr">
        <is>
          <t>Students living away from home must learn to budget their money.</t>
        </is>
      </c>
      <c r="H187" s="10" t="inlineStr">
        <is>
          <t>financial plan, allowance, spending limit</t>
        </is>
      </c>
      <c r="I187" s="10" t="inlineStr">
        <is>
          <t>reckless spending, extravagance</t>
        </is>
      </c>
      <c r="J187" s="10" t="inlineStr">
        <is>
          <t>tight budget, on a budget, annual budget</t>
        </is>
      </c>
      <c r="K187" s="10" t="inlineStr">
        <is>
          <t>Cụm: 'on a tight budget'.</t>
        </is>
      </c>
      <c r="L187" s="11" t="inlineStr">
        <is>
          <t>Đã thuộc</t>
        </is>
      </c>
    </row>
    <row r="188" ht="42" customHeight="1">
      <c r="A188" s="2" t="inlineStr">
        <is>
          <t>Shopping &amp; Money</t>
        </is>
      </c>
      <c r="B188" s="3" t="inlineStr">
        <is>
          <t>extravagant</t>
        </is>
      </c>
      <c r="C188" s="4" t="inlineStr">
        <is>
          <t>adjective</t>
        </is>
      </c>
      <c r="D188" s="2" t="inlineStr">
        <is>
          <t>/ɪkˈstræv.ə.ɡənt/</t>
        </is>
      </c>
      <c r="E188" s="5" t="inlineStr">
        <is>
          <t>Xa hoa hoang phí tiêu xài quá mức</t>
        </is>
      </c>
      <c r="F188" s="6" t="inlineStr">
        <is>
          <t>B2</t>
        </is>
      </c>
      <c r="G188" s="5" t="inlineStr">
        <is>
          <t>Spending thousands on luxury bags is considered extravagant.</t>
        </is>
      </c>
      <c r="H188" s="5" t="inlineStr">
        <is>
          <t>wasteful, lavish, prodigal, costly</t>
        </is>
      </c>
      <c r="I188" s="5" t="inlineStr">
        <is>
          <t>frugal, economical, thrifty</t>
        </is>
      </c>
      <c r="J188" s="5" t="inlineStr">
        <is>
          <t>extravagant lifestyle, extravagant spending, extravagant gift</t>
        </is>
      </c>
      <c r="K188" s="5" t="inlineStr">
        <is>
          <t>Danh từ: extravagance.</t>
        </is>
      </c>
      <c r="L188" s="6" t="inlineStr">
        <is>
          <t>Đang học</t>
        </is>
      </c>
    </row>
    <row r="189" ht="42" customHeight="1">
      <c r="A189" s="7" t="inlineStr">
        <is>
          <t>Shopping &amp; Money</t>
        </is>
      </c>
      <c r="B189" s="8" t="inlineStr">
        <is>
          <t>e-commerce</t>
        </is>
      </c>
      <c r="C189" s="9" t="inlineStr">
        <is>
          <t>noun</t>
        </is>
      </c>
      <c r="D189" s="7" t="inlineStr">
        <is>
          <t>/ˈiːˌkɒm.ɜːs/</t>
        </is>
      </c>
      <c r="E189" s="10" t="inlineStr">
        <is>
          <t>Thương mại điện tử mua bán trực tuyến</t>
        </is>
      </c>
      <c r="F189" s="11" t="inlineStr">
        <is>
          <t>B1</t>
        </is>
      </c>
      <c r="G189" s="10" t="inlineStr">
        <is>
          <t>The expansion of e-commerce has made online shopping convenient.</t>
        </is>
      </c>
      <c r="H189" s="10" t="inlineStr">
        <is>
          <t>online shopping, internet commerce, digital trade</t>
        </is>
      </c>
      <c r="I189" s="10" t="inlineStr">
        <is>
          <t>brick-and-mortar retail</t>
        </is>
      </c>
      <c r="J189" s="10" t="inlineStr">
        <is>
          <t>e-commerce platform, boom in e-commerce</t>
        </is>
      </c>
      <c r="K189" s="10" t="inlineStr">
        <is>
          <t>Electronic + commerce.</t>
        </is>
      </c>
      <c r="L189" s="11" t="inlineStr">
        <is>
          <t>Đã thuộc</t>
        </is>
      </c>
    </row>
    <row r="190" ht="42" customHeight="1">
      <c r="A190" s="2" t="inlineStr">
        <is>
          <t>Shopping &amp; Money</t>
        </is>
      </c>
      <c r="B190" s="3" t="inlineStr">
        <is>
          <t>impulse buying</t>
        </is>
      </c>
      <c r="C190" s="4" t="inlineStr">
        <is>
          <t>noun phrase</t>
        </is>
      </c>
      <c r="D190" s="2" t="inlineStr">
        <is>
          <t>/ˈɪm.pʌls ˌbaɪ.ɪŋ/</t>
        </is>
      </c>
      <c r="E190" s="5" t="inlineStr">
        <is>
          <t>Mua sắm bốc đồng theo cảm hứng tức thời</t>
        </is>
      </c>
      <c r="F190" s="6" t="inlineStr">
        <is>
          <t>B2</t>
        </is>
      </c>
      <c r="G190" s="5" t="inlineStr">
        <is>
          <t>Supermarkets place treats near checkouts to encourage impulse buying.</t>
        </is>
      </c>
      <c r="H190" s="5" t="inlineStr">
        <is>
          <t>unplanned shopping, spontaneous purchase</t>
        </is>
      </c>
      <c r="I190" s="5" t="inlineStr">
        <is>
          <t>planned purchasing, conscious budgeting</t>
        </is>
      </c>
      <c r="J190" s="5" t="inlineStr">
        <is>
          <t>avoid impulse buying, prone to impulse buying</t>
        </is>
      </c>
      <c r="K190" s="5" t="inlineStr">
        <is>
          <t>Tính từ: impulsive.</t>
        </is>
      </c>
      <c r="L190" s="6" t="inlineStr">
        <is>
          <t>Đang học</t>
        </is>
      </c>
    </row>
    <row r="191" ht="42" customHeight="1">
      <c r="A191" s="7" t="inlineStr">
        <is>
          <t>Shopping &amp; Money</t>
        </is>
      </c>
      <c r="B191" s="8" t="inlineStr">
        <is>
          <t>transaction</t>
        </is>
      </c>
      <c r="C191" s="9" t="inlineStr">
        <is>
          <t>noun</t>
        </is>
      </c>
      <c r="D191" s="7" t="inlineStr">
        <is>
          <t>/trænˈzæk.ʃən/</t>
        </is>
      </c>
      <c r="E191" s="10" t="inlineStr">
        <is>
          <t>Giao dịch thanh toán chuyển tiền</t>
        </is>
      </c>
      <c r="F191" s="11" t="inlineStr">
        <is>
          <t>B2</t>
        </is>
      </c>
      <c r="G191" s="10" t="inlineStr">
        <is>
          <t>Mobile apps send notifications for every financial transaction.</t>
        </is>
      </c>
      <c r="H191" s="10" t="inlineStr">
        <is>
          <t>deal, financial payment, transfer</t>
        </is>
      </c>
      <c r="I191" s="10" t="inlineStr">
        <is>
          <t>N/A</t>
        </is>
      </c>
      <c r="J191" s="10" t="inlineStr">
        <is>
          <t>financial transaction, online transaction, cashless transaction</t>
        </is>
      </c>
      <c r="K191" s="10" t="inlineStr">
        <is>
          <t>Động từ: transact.</t>
        </is>
      </c>
      <c r="L191" s="11" t="inlineStr">
        <is>
          <t>Đang học</t>
        </is>
      </c>
    </row>
    <row r="192" ht="42" customHeight="1">
      <c r="A192" s="2" t="inlineStr">
        <is>
          <t>Shopping &amp; Money</t>
        </is>
      </c>
      <c r="B192" s="3" t="inlineStr">
        <is>
          <t>counterfeit</t>
        </is>
      </c>
      <c r="C192" s="4" t="inlineStr">
        <is>
          <t>adjective/noun</t>
        </is>
      </c>
      <c r="D192" s="2" t="inlineStr">
        <is>
          <t>/ˈkaʊn.tə.fɪt/</t>
        </is>
      </c>
      <c r="E192" s="5" t="inlineStr">
        <is>
          <t>Hàng giả, tiền giả sao chép bất hợp pháp</t>
        </is>
      </c>
      <c r="F192" s="6" t="inlineStr">
        <is>
          <t>B2</t>
        </is>
      </c>
      <c r="G192" s="5" t="inlineStr">
        <is>
          <t>Customs officers seized thousands of counterfeit designer watches.</t>
        </is>
      </c>
      <c r="H192" s="5" t="inlineStr">
        <is>
          <t>fake, imitation, forged, sham</t>
        </is>
      </c>
      <c r="I192" s="5" t="inlineStr">
        <is>
          <t>genuine, authentic, real</t>
        </is>
      </c>
      <c r="J192" s="5" t="inlineStr">
        <is>
          <t>counterfeit goods, counterfeit money, counterfeit products</t>
        </is>
      </c>
      <c r="K192" s="5" t="inlineStr">
        <is>
          <t>Động từ: counterfeit.</t>
        </is>
      </c>
      <c r="L192" s="6" t="inlineStr">
        <is>
          <t>Đang học</t>
        </is>
      </c>
    </row>
    <row r="193" ht="42" customHeight="1">
      <c r="A193" s="7" t="inlineStr">
        <is>
          <t>Shopping &amp; Money</t>
        </is>
      </c>
      <c r="B193" s="8" t="inlineStr">
        <is>
          <t>cashless</t>
        </is>
      </c>
      <c r="C193" s="9" t="inlineStr">
        <is>
          <t>adjective</t>
        </is>
      </c>
      <c r="D193" s="7" t="inlineStr">
        <is>
          <t>/ˈkæʃ.ləs/</t>
        </is>
      </c>
      <c r="E193" s="10" t="inlineStr">
        <is>
          <t>Không dùng tiền mặt, quét mã thẻ</t>
        </is>
      </c>
      <c r="F193" s="11" t="inlineStr">
        <is>
          <t>B1</t>
        </is>
      </c>
      <c r="G193" s="10" t="inlineStr">
        <is>
          <t>Vietnam is moving toward a cashless society with QR code payments.</t>
        </is>
      </c>
      <c r="H193" s="10" t="inlineStr">
        <is>
          <t>digital payment, electronic payment</t>
        </is>
      </c>
      <c r="I193" s="10" t="inlineStr">
        <is>
          <t>cash-based, cash-only</t>
        </is>
      </c>
      <c r="J193" s="10" t="inlineStr">
        <is>
          <t>cashless society, cashless payment, cashless economy</t>
        </is>
      </c>
      <c r="K193" s="10" t="inlineStr">
        <is>
          <t>Cash + -less.</t>
        </is>
      </c>
      <c r="L193" s="11" t="inlineStr">
        <is>
          <t>Đã thuộc</t>
        </is>
      </c>
    </row>
    <row r="194" ht="42" customHeight="1">
      <c r="A194" s="2" t="inlineStr">
        <is>
          <t>Shopping &amp; Money</t>
        </is>
      </c>
      <c r="B194" s="3" t="inlineStr">
        <is>
          <t>installment</t>
        </is>
      </c>
      <c r="C194" s="4" t="inlineStr">
        <is>
          <t>noun</t>
        </is>
      </c>
      <c r="D194" s="2" t="inlineStr">
        <is>
          <t>/ɪnˈstɔːl.mənt/</t>
        </is>
      </c>
      <c r="E194" s="5" t="inlineStr">
        <is>
          <t>Khoản trả góp định kỳ hàng tháng</t>
        </is>
      </c>
      <c r="F194" s="6" t="inlineStr">
        <is>
          <t>B2</t>
        </is>
      </c>
      <c r="G194" s="5" t="inlineStr">
        <is>
          <t>Consumers can buy high-end laptops in twelve monthly installments.</t>
        </is>
      </c>
      <c r="H194" s="5" t="inlineStr">
        <is>
          <t>periodic payment, part payment</t>
        </is>
      </c>
      <c r="I194" s="5" t="inlineStr">
        <is>
          <t>lump-sum payment, upfront cash</t>
        </is>
      </c>
      <c r="J194" s="5" t="inlineStr">
        <is>
          <t>pay in installments, monthly installment, interest-free installment</t>
        </is>
      </c>
      <c r="K194" s="5" t="inlineStr">
        <is>
          <t>Pay by installments = trả góp.</t>
        </is>
      </c>
      <c r="L194" s="6" t="inlineStr">
        <is>
          <t>Đang học</t>
        </is>
      </c>
    </row>
    <row r="195" ht="42" customHeight="1">
      <c r="A195" s="7" t="inlineStr">
        <is>
          <t>Shopping &amp; Money</t>
        </is>
      </c>
      <c r="B195" s="8" t="inlineStr">
        <is>
          <t>guarantee</t>
        </is>
      </c>
      <c r="C195" s="9" t="inlineStr">
        <is>
          <t>noun/verb</t>
        </is>
      </c>
      <c r="D195" s="7" t="inlineStr">
        <is>
          <t>/ˌɡær.ənˈtiː/</t>
        </is>
      </c>
      <c r="E195" s="10" t="inlineStr">
        <is>
          <t>Bảo hành sản phẩm / Bảo đảm chất lượng</t>
        </is>
      </c>
      <c r="F195" s="11" t="inlineStr">
        <is>
          <t>B1</t>
        </is>
      </c>
      <c r="G195" s="10" t="inlineStr">
        <is>
          <t>The washing machine comes with a two-year manufacturer guarantee.</t>
        </is>
      </c>
      <c r="H195" s="10" t="inlineStr">
        <is>
          <t>warranty, assurance, pledge</t>
        </is>
      </c>
      <c r="I195" s="10" t="inlineStr">
        <is>
          <t>N/A</t>
        </is>
      </c>
      <c r="J195" s="10" t="inlineStr">
        <is>
          <t>money-back guarantee, under guarantee, guarantee quality</t>
        </is>
      </c>
      <c r="K195" s="10" t="inlineStr">
        <is>
          <t>Đồng nghĩa: warranty.</t>
        </is>
      </c>
      <c r="L195" s="11" t="inlineStr">
        <is>
          <t>Đã thuộc</t>
        </is>
      </c>
    </row>
    <row r="196" ht="42" customHeight="1">
      <c r="A196" s="2" t="inlineStr">
        <is>
          <t>Shopping &amp; Money</t>
        </is>
      </c>
      <c r="B196" s="3" t="inlineStr">
        <is>
          <t>retailer</t>
        </is>
      </c>
      <c r="C196" s="4" t="inlineStr">
        <is>
          <t>noun</t>
        </is>
      </c>
      <c r="D196" s="2" t="inlineStr">
        <is>
          <t>/ˈriː.teɪ.lər/</t>
        </is>
      </c>
      <c r="E196" s="5" t="inlineStr">
        <is>
          <t>Nhà bán lẻ trực tiếp tới người tiêu dùng</t>
        </is>
      </c>
      <c r="F196" s="6" t="inlineStr">
        <is>
          <t>B2</t>
        </is>
      </c>
      <c r="G196" s="5" t="inlineStr">
        <is>
          <t>Major online retailers offer free shipping on larger orders.</t>
        </is>
      </c>
      <c r="H196" s="5" t="inlineStr">
        <is>
          <t>shopkeeper, merchant, vendor</t>
        </is>
      </c>
      <c r="I196" s="5" t="inlineStr">
        <is>
          <t>wholesaler (nhà bán buôn), manufacturer</t>
        </is>
      </c>
      <c r="J196" s="5" t="inlineStr">
        <is>
          <t>online retailer, major retailer, clothing retailer</t>
        </is>
      </c>
      <c r="K196" s="5" t="inlineStr">
        <is>
          <t>Retailer (bán lẻ) &gt;&lt; wholesaler (bán buôn).</t>
        </is>
      </c>
      <c r="L196" s="6" t="inlineStr">
        <is>
          <t>Đang học</t>
        </is>
      </c>
    </row>
    <row r="197" ht="42" customHeight="1">
      <c r="A197" s="7" t="inlineStr">
        <is>
          <t>Shopping &amp; Money</t>
        </is>
      </c>
      <c r="B197" s="8" t="inlineStr">
        <is>
          <t>loyalty program</t>
        </is>
      </c>
      <c r="C197" s="9" t="inlineStr">
        <is>
          <t>noun phrase</t>
        </is>
      </c>
      <c r="D197" s="7" t="inlineStr">
        <is>
          <t>/ˈlɔɪ.əl.ti ˌprəʊ.ɡræm/</t>
        </is>
      </c>
      <c r="E197" s="10" t="inlineStr">
        <is>
          <t>Chương trình khách hàng thân thiết tích điểm</t>
        </is>
      </c>
      <c r="F197" s="11" t="inlineStr">
        <is>
          <t>B1</t>
        </is>
      </c>
      <c r="G197" s="10" t="inlineStr">
        <is>
          <t>Supermarket loyalty programs reward regular shoppers with points.</t>
        </is>
      </c>
      <c r="H197" s="10" t="inlineStr">
        <is>
          <t>rewards scheme, customer reward program</t>
        </is>
      </c>
      <c r="I197" s="10" t="inlineStr">
        <is>
          <t>N/A</t>
        </is>
      </c>
      <c r="J197" s="10" t="inlineStr">
        <is>
          <t>join a loyalty program, loyalty program points</t>
        </is>
      </c>
      <c r="K197" s="10" t="inlineStr">
        <is>
          <t>Loyalty + program.</t>
        </is>
      </c>
      <c r="L197" s="11" t="inlineStr">
        <is>
          <t>Đã thuộc</t>
        </is>
      </c>
    </row>
    <row r="198" ht="42" customHeight="1">
      <c r="A198" s="2" t="inlineStr">
        <is>
          <t>Shopping &amp; Money</t>
        </is>
      </c>
      <c r="B198" s="3" t="inlineStr">
        <is>
          <t>overpriced</t>
        </is>
      </c>
      <c r="C198" s="4" t="inlineStr">
        <is>
          <t>adjective</t>
        </is>
      </c>
      <c r="D198" s="2" t="inlineStr">
        <is>
          <t>/ˌəʊ.vəˈpraɪst/</t>
        </is>
      </c>
      <c r="E198" s="5" t="inlineStr">
        <is>
          <t>Bị đội giá quá đắt so với giá trị thực</t>
        </is>
      </c>
      <c r="F198" s="6" t="inlineStr">
        <is>
          <t>B1</t>
        </is>
      </c>
      <c r="G198" s="5" t="inlineStr">
        <is>
          <t>Food in airport departure terminals is notoriously overpriced.</t>
        </is>
      </c>
      <c r="H198" s="5" t="inlineStr">
        <is>
          <t>expensive, exorbitant, inflated</t>
        </is>
      </c>
      <c r="I198" s="5" t="inlineStr">
        <is>
          <t>cheap, affordable, reasonably priced</t>
        </is>
      </c>
      <c r="J198" s="5" t="inlineStr">
        <is>
          <t>ridiculously overpriced, overpriced goods</t>
        </is>
      </c>
      <c r="K198" s="5" t="inlineStr">
        <is>
          <t>Over- + priced.</t>
        </is>
      </c>
      <c r="L198" s="6" t="inlineStr">
        <is>
          <t>Đã thuộc</t>
        </is>
      </c>
    </row>
    <row r="199" ht="42" customHeight="1">
      <c r="A199" s="7" t="inlineStr">
        <is>
          <t>Shopping &amp; Money</t>
        </is>
      </c>
      <c r="B199" s="8" t="inlineStr">
        <is>
          <t>frugal</t>
        </is>
      </c>
      <c r="C199" s="9" t="inlineStr">
        <is>
          <t>adjective</t>
        </is>
      </c>
      <c r="D199" s="7" t="inlineStr">
        <is>
          <t>/ˈfruː.ɡəl/</t>
        </is>
      </c>
      <c r="E199" s="10" t="inlineStr">
        <is>
          <t>Tiết kiệm, chắt chiu không phung phí</t>
        </is>
      </c>
      <c r="F199" s="11" t="inlineStr">
        <is>
          <t>B2</t>
        </is>
      </c>
      <c r="G199" s="10" t="inlineStr">
        <is>
          <t>By leading a frugal lifestyle, she saved enough to buy a flat.</t>
        </is>
      </c>
      <c r="H199" s="10" t="inlineStr">
        <is>
          <t>thrifty, economical, careful</t>
        </is>
      </c>
      <c r="I199" s="10" t="inlineStr">
        <is>
          <t>extravagant, wasteful, lavish</t>
        </is>
      </c>
      <c r="J199" s="10" t="inlineStr">
        <is>
          <t>frugal lifestyle, frugal living, frugal habits</t>
        </is>
      </c>
      <c r="K199" s="10" t="inlineStr">
        <is>
          <t>Danh từ: frugality.</t>
        </is>
      </c>
      <c r="L199" s="11" t="inlineStr">
        <is>
          <t>Đang học</t>
        </is>
      </c>
    </row>
    <row r="200" ht="42" customHeight="1">
      <c r="A200" s="2" t="inlineStr">
        <is>
          <t>Science &amp; Innovation</t>
        </is>
      </c>
      <c r="B200" s="3" t="inlineStr">
        <is>
          <t>breakthrough</t>
        </is>
      </c>
      <c r="C200" s="4" t="inlineStr">
        <is>
          <t>noun</t>
        </is>
      </c>
      <c r="D200" s="2" t="inlineStr">
        <is>
          <t>/ˈbreɪk.θruː/</t>
        </is>
      </c>
      <c r="E200" s="5" t="inlineStr">
        <is>
          <t>Bước đột phá khoa học mang tính cách mạng</t>
        </is>
      </c>
      <c r="F200" s="6" t="inlineStr">
        <is>
          <t>B2</t>
        </is>
      </c>
      <c r="G200" s="5" t="inlineStr">
        <is>
          <t>Scientists achieved a major medical breakthrough in vaccine development.</t>
        </is>
      </c>
      <c r="H200" s="5" t="inlineStr">
        <is>
          <t>advancement, discovery, leap forward</t>
        </is>
      </c>
      <c r="I200" s="5" t="inlineStr">
        <is>
          <t>setback, stagnation, failure</t>
        </is>
      </c>
      <c r="J200" s="5" t="inlineStr">
        <is>
          <t>scientific breakthrough, major breakthrough, achieve a breakthrough</t>
        </is>
      </c>
      <c r="K200" s="5" t="inlineStr">
        <is>
          <t>Break + through.</t>
        </is>
      </c>
      <c r="L200" s="6" t="inlineStr">
        <is>
          <t>Đã thuộc</t>
        </is>
      </c>
    </row>
    <row r="201" ht="42" customHeight="1">
      <c r="A201" s="7" t="inlineStr">
        <is>
          <t>Science &amp; Innovation</t>
        </is>
      </c>
      <c r="B201" s="8" t="inlineStr">
        <is>
          <t>patent</t>
        </is>
      </c>
      <c r="C201" s="9" t="inlineStr">
        <is>
          <t>noun/verb</t>
        </is>
      </c>
      <c r="D201" s="7" t="inlineStr">
        <is>
          <t>/ˈpeɪ.tənt/</t>
        </is>
      </c>
      <c r="E201" s="10" t="inlineStr">
        <is>
          <t>Bằng sáng chế độc quyền bảo hộ phát minh</t>
        </is>
      </c>
      <c r="F201" s="11" t="inlineStr">
        <is>
          <t>B2</t>
        </is>
      </c>
      <c r="G201" s="10" t="inlineStr">
        <is>
          <t>The inventor applied for a patent to protect her water filter design.</t>
        </is>
      </c>
      <c r="H201" s="10" t="inlineStr">
        <is>
          <t>copyright, intellectual property license</t>
        </is>
      </c>
      <c r="I201" s="10" t="inlineStr">
        <is>
          <t>public domain</t>
        </is>
      </c>
      <c r="J201" s="10" t="inlineStr">
        <is>
          <t>apply for a patent, grant a patent, patent pending</t>
        </is>
      </c>
      <c r="K201" s="10" t="inlineStr">
        <is>
          <t>Phát âm /ˈpeɪ.tənt/ hoặc /ˈpæt.ənt/.</t>
        </is>
      </c>
      <c r="L201" s="11" t="inlineStr">
        <is>
          <t>Đang học</t>
        </is>
      </c>
    </row>
    <row r="202" ht="42" customHeight="1">
      <c r="A202" s="2" t="inlineStr">
        <is>
          <t>Science &amp; Innovation</t>
        </is>
      </c>
      <c r="B202" s="3" t="inlineStr">
        <is>
          <t>revolutionize</t>
        </is>
      </c>
      <c r="C202" s="4" t="inlineStr">
        <is>
          <t>verb</t>
        </is>
      </c>
      <c r="D202" s="2" t="inlineStr">
        <is>
          <t>/ˌrev.əˈluː.ʃən.aɪz/</t>
        </is>
      </c>
      <c r="E202" s="5" t="inlineStr">
        <is>
          <t>Cách mạng hóa, làm biến đổi sâu sắc lĩnh vực</t>
        </is>
      </c>
      <c r="F202" s="6" t="inlineStr">
        <is>
          <t>B2</t>
        </is>
      </c>
      <c r="G202" s="5" t="inlineStr">
        <is>
          <t>The steam engine revolutionized manufacturing and transport in Europe.</t>
        </is>
      </c>
      <c r="H202" s="5" t="inlineStr">
        <is>
          <t>transform, overhaul, modernize</t>
        </is>
      </c>
      <c r="I202" s="5" t="inlineStr">
        <is>
          <t>preserve status quo, stagnate</t>
        </is>
      </c>
      <c r="J202" s="5" t="inlineStr">
        <is>
          <t>revolutionize an industry, revolutionize healthcare</t>
        </is>
      </c>
      <c r="K202" s="5" t="inlineStr">
        <is>
          <t>Danh từ: revolution.</t>
        </is>
      </c>
      <c r="L202" s="6" t="inlineStr">
        <is>
          <t>Đang học</t>
        </is>
      </c>
    </row>
    <row r="203" ht="42" customHeight="1">
      <c r="A203" s="7" t="inlineStr">
        <is>
          <t>Science &amp; Innovation</t>
        </is>
      </c>
      <c r="B203" s="8" t="inlineStr">
        <is>
          <t>versatile</t>
        </is>
      </c>
      <c r="C203" s="9" t="inlineStr">
        <is>
          <t>adjective</t>
        </is>
      </c>
      <c r="D203" s="7" t="inlineStr">
        <is>
          <t>/ˈvɜː.sə.taɪl/</t>
        </is>
      </c>
      <c r="E203" s="10" t="inlineStr">
        <is>
          <t>Đa năng, linh hoạt thích ứng nhiều công dụng</t>
        </is>
      </c>
      <c r="F203" s="11" t="inlineStr">
        <is>
          <t>B2</t>
        </is>
      </c>
      <c r="G203" s="10" t="inlineStr">
        <is>
          <t>Bamboo is a versatile natural material used for flooring and fabrics.</t>
        </is>
      </c>
      <c r="H203" s="10" t="inlineStr">
        <is>
          <t>multi-purpose, adaptable, flexible</t>
        </is>
      </c>
      <c r="I203" s="10" t="inlineStr">
        <is>
          <t>single-purpose, rigid, inflexible</t>
        </is>
      </c>
      <c r="J203" s="10" t="inlineStr">
        <is>
          <t>versatile material, versatile tool, highly versatile</t>
        </is>
      </c>
      <c r="K203" s="10" t="inlineStr">
        <is>
          <t>Danh từ: versatility.</t>
        </is>
      </c>
      <c r="L203" s="11" t="inlineStr">
        <is>
          <t>Đang học</t>
        </is>
      </c>
    </row>
    <row r="204" ht="42" customHeight="1">
      <c r="A204" s="2" t="inlineStr">
        <is>
          <t>Science &amp; Innovation</t>
        </is>
      </c>
      <c r="B204" s="3" t="inlineStr">
        <is>
          <t>hypothesis</t>
        </is>
      </c>
      <c r="C204" s="4" t="inlineStr">
        <is>
          <t>noun</t>
        </is>
      </c>
      <c r="D204" s="2" t="inlineStr">
        <is>
          <t>/haɪˈpɒθ.ə.sɪs/</t>
        </is>
      </c>
      <c r="E204" s="5" t="inlineStr">
        <is>
          <t>Giả thuyết khoa học đưa ra để kiểm chứng</t>
        </is>
      </c>
      <c r="F204" s="6" t="inlineStr">
        <is>
          <t>B2</t>
        </is>
      </c>
      <c r="G204" s="5" t="inlineStr">
        <is>
          <t>Researchers designed lab experiments to test their biological hypothesis.</t>
        </is>
      </c>
      <c r="H204" s="5" t="inlineStr">
        <is>
          <t>theory, proposition, assumption</t>
        </is>
      </c>
      <c r="I204" s="5" t="inlineStr">
        <is>
          <t>proven fact, certainty</t>
        </is>
      </c>
      <c r="J204" s="5" t="inlineStr">
        <is>
          <t>test a hypothesis, form a hypothesis, support hypothesis</t>
        </is>
      </c>
      <c r="K204" s="5" t="inlineStr">
        <is>
          <t>Số nhiều: hypotheses.</t>
        </is>
      </c>
      <c r="L204" s="6" t="inlineStr">
        <is>
          <t>Đang học</t>
        </is>
      </c>
    </row>
    <row r="205" ht="42" customHeight="1">
      <c r="A205" s="7" t="inlineStr">
        <is>
          <t>Science &amp; Innovation</t>
        </is>
      </c>
      <c r="B205" s="8" t="inlineStr">
        <is>
          <t>laboratory</t>
        </is>
      </c>
      <c r="C205" s="9" t="inlineStr">
        <is>
          <t>noun</t>
        </is>
      </c>
      <c r="D205" s="7" t="inlineStr">
        <is>
          <t>/ləˈbɒr.ə.tri/</t>
        </is>
      </c>
      <c r="E205" s="10" t="inlineStr">
        <is>
          <t>Phòng thí nghiệm khoa học</t>
        </is>
      </c>
      <c r="F205" s="11" t="inlineStr">
        <is>
          <t>A2</t>
        </is>
      </c>
      <c r="G205" s="10" t="inlineStr">
        <is>
          <t>Students conduct chemistry experiments in the school laboratory.</t>
        </is>
      </c>
      <c r="H205" s="10" t="inlineStr">
        <is>
          <t>lab, research facility, testing room</t>
        </is>
      </c>
      <c r="I205" s="10" t="inlineStr">
        <is>
          <t>N/A</t>
        </is>
      </c>
      <c r="J205" s="10" t="inlineStr">
        <is>
          <t>science laboratory, laboratory equipment, lab test</t>
        </is>
      </c>
      <c r="K205" s="10" t="inlineStr">
        <is>
          <t>Viết tắt: lab.</t>
        </is>
      </c>
      <c r="L205" s="11" t="inlineStr">
        <is>
          <t>Đã thuộc</t>
        </is>
      </c>
    </row>
    <row r="206" ht="42" customHeight="1">
      <c r="A206" s="2" t="inlineStr">
        <is>
          <t>Science &amp; Innovation</t>
        </is>
      </c>
      <c r="B206" s="3" t="inlineStr">
        <is>
          <t>portable</t>
        </is>
      </c>
      <c r="C206" s="4" t="inlineStr">
        <is>
          <t>adjective</t>
        </is>
      </c>
      <c r="D206" s="2" t="inlineStr">
        <is>
          <t>/ˈpɔː.tə.bəl/</t>
        </is>
      </c>
      <c r="E206" s="5" t="inlineStr">
        <is>
          <t>Xách tay gọn nhẹ dễ dàng mang theo</t>
        </is>
      </c>
      <c r="F206" s="6" t="inlineStr">
        <is>
          <t>B1</t>
        </is>
      </c>
      <c r="G206" s="5" t="inlineStr">
        <is>
          <t>Laptops and portable chargers enable people to work from anywhere.</t>
        </is>
      </c>
      <c r="H206" s="5" t="inlineStr">
        <is>
          <t>mobile, transportable, compact</t>
        </is>
      </c>
      <c r="I206" s="5" t="inlineStr">
        <is>
          <t>stationary, bulky, immovable</t>
        </is>
      </c>
      <c r="J206" s="5" t="inlineStr">
        <is>
          <t>portable device, portable speaker, portable charger</t>
        </is>
      </c>
      <c r="K206" s="5" t="inlineStr">
        <is>
          <t>Gốc Latin: portare = mang vác.</t>
        </is>
      </c>
      <c r="L206" s="6" t="inlineStr">
        <is>
          <t>Đã thuộc</t>
        </is>
      </c>
    </row>
    <row r="207" ht="42" customHeight="1">
      <c r="A207" s="7" t="inlineStr">
        <is>
          <t>Science &amp; Innovation</t>
        </is>
      </c>
      <c r="B207" s="8" t="inlineStr">
        <is>
          <t>genetics</t>
        </is>
      </c>
      <c r="C207" s="9" t="inlineStr">
        <is>
          <t>noun</t>
        </is>
      </c>
      <c r="D207" s="7" t="inlineStr">
        <is>
          <t>/dʒəˈnet.ɪks/</t>
        </is>
      </c>
      <c r="E207" s="10" t="inlineStr">
        <is>
          <t>Di truyền học nghiên cứu về gen</t>
        </is>
      </c>
      <c r="F207" s="11" t="inlineStr">
        <is>
          <t>B2</t>
        </is>
      </c>
      <c r="G207" s="10" t="inlineStr">
        <is>
          <t>Advancements in genetics help scientists develop drought-resistant rice.</t>
        </is>
      </c>
      <c r="H207" s="10" t="inlineStr">
        <is>
          <t>heredity study, genomic science</t>
        </is>
      </c>
      <c r="I207" s="10" t="inlineStr">
        <is>
          <t>N/A</t>
        </is>
      </c>
      <c r="J207" s="10" t="inlineStr">
        <is>
          <t>human genetics, plant genetics, genetic engineering</t>
        </is>
      </c>
      <c r="K207" s="10" t="inlineStr">
        <is>
          <t>Tính từ: genetic.</t>
        </is>
      </c>
      <c r="L207" s="11" t="inlineStr">
        <is>
          <t>Đang học</t>
        </is>
      </c>
    </row>
    <row r="208" ht="42" customHeight="1">
      <c r="A208" s="2" t="inlineStr">
        <is>
          <t>Science &amp; Innovation</t>
        </is>
      </c>
      <c r="B208" s="3" t="inlineStr">
        <is>
          <t>innovative</t>
        </is>
      </c>
      <c r="C208" s="4" t="inlineStr">
        <is>
          <t>adjective</t>
        </is>
      </c>
      <c r="D208" s="2" t="inlineStr">
        <is>
          <t>/ˈɪn.ə.və.tɪv/</t>
        </is>
      </c>
      <c r="E208" s="5" t="inlineStr">
        <is>
          <t>Có tính đổi mới sáng tạo hữu ích</t>
        </is>
      </c>
      <c r="F208" s="6" t="inlineStr">
        <is>
          <t>B2</t>
        </is>
      </c>
      <c r="G208" s="5" t="inlineStr">
        <is>
          <t>Engineers developed an innovative purifier powered by solar batteries.</t>
        </is>
      </c>
      <c r="H208" s="5" t="inlineStr">
        <is>
          <t>creative, inventive, pioneering</t>
        </is>
      </c>
      <c r="I208" s="5" t="inlineStr">
        <is>
          <t>conventional, traditional, outdated</t>
        </is>
      </c>
      <c r="J208" s="5" t="inlineStr">
        <is>
          <t>innovative solution, innovative technology, innovative design</t>
        </is>
      </c>
      <c r="K208" s="5" t="inlineStr">
        <is>
          <t>Động từ: innovate.</t>
        </is>
      </c>
      <c r="L208" s="6" t="inlineStr">
        <is>
          <t>Đã thuộc</t>
        </is>
      </c>
    </row>
    <row r="209" ht="42" customHeight="1">
      <c r="A209" s="7" t="inlineStr">
        <is>
          <t>Science &amp; Innovation</t>
        </is>
      </c>
      <c r="B209" s="8" t="inlineStr">
        <is>
          <t>experiment</t>
        </is>
      </c>
      <c r="C209" s="9" t="inlineStr">
        <is>
          <t>noun/verb</t>
        </is>
      </c>
      <c r="D209" s="7" t="inlineStr">
        <is>
          <t>/ɪkˈsper.ɪ.mənt/</t>
        </is>
      </c>
      <c r="E209" s="10" t="inlineStr">
        <is>
          <t>Cuộc thí nghiệm thực nghiệm / Thí nghiệm</t>
        </is>
      </c>
      <c r="F209" s="11" t="inlineStr">
        <is>
          <t>A2</t>
        </is>
      </c>
      <c r="G209" s="10" t="inlineStr">
        <is>
          <t>Scientists carried out experiments to verify the safety of the compound.</t>
        </is>
      </c>
      <c r="H209" s="10" t="inlineStr">
        <is>
          <t>scientific test, trial, pilot test</t>
        </is>
      </c>
      <c r="I209" s="10" t="inlineStr">
        <is>
          <t>N/A</t>
        </is>
      </c>
      <c r="J209" s="10" t="inlineStr">
        <is>
          <t>conduct an experiment, lab experiment, scientific experiment</t>
        </is>
      </c>
      <c r="K209" s="10" t="inlineStr">
        <is>
          <t>Tính từ: experimental.</t>
        </is>
      </c>
      <c r="L209" s="11" t="inlineStr">
        <is>
          <t>Đã thuộc</t>
        </is>
      </c>
    </row>
    <row r="210" ht="42" customHeight="1">
      <c r="A210" s="2" t="inlineStr">
        <is>
          <t>Science &amp; Innovation</t>
        </is>
      </c>
      <c r="B210" s="3" t="inlineStr">
        <is>
          <t>solar system</t>
        </is>
      </c>
      <c r="C210" s="4" t="inlineStr">
        <is>
          <t>noun phrase</t>
        </is>
      </c>
      <c r="D210" s="2" t="inlineStr">
        <is>
          <t>/ˈsəʊ.lə ˌsɪs.təm/</t>
        </is>
      </c>
      <c r="E210" s="5" t="inlineStr">
        <is>
          <t>Hệ Mặt Trời gồm Mặt Trời và 8 hành tinh</t>
        </is>
      </c>
      <c r="F210" s="6" t="inlineStr">
        <is>
          <t>A2</t>
        </is>
      </c>
      <c r="G210" s="5" t="inlineStr">
        <is>
          <t>Earth and Mars are planets located in our solar system.</t>
        </is>
      </c>
      <c r="H210" s="5" t="inlineStr">
        <is>
          <t>planetary system, heliocentric system</t>
        </is>
      </c>
      <c r="I210" s="5" t="inlineStr">
        <is>
          <t>N/A</t>
        </is>
      </c>
      <c r="J210" s="5" t="inlineStr">
        <is>
          <t>planets in solar system, explore solar system</t>
        </is>
      </c>
      <c r="K210" s="5" t="inlineStr">
        <is>
          <t>Solar (thuộc Mặt Trời) + system.</t>
        </is>
      </c>
      <c r="L210" s="6" t="inlineStr">
        <is>
          <t>Đã thuộc</t>
        </is>
      </c>
    </row>
    <row r="211" ht="42" customHeight="1">
      <c r="A211" s="7" t="inlineStr">
        <is>
          <t>Science &amp; Innovation</t>
        </is>
      </c>
      <c r="B211" s="8" t="inlineStr">
        <is>
          <t>orbit</t>
        </is>
      </c>
      <c r="C211" s="9" t="inlineStr">
        <is>
          <t>noun/verb</t>
        </is>
      </c>
      <c r="D211" s="7" t="inlineStr">
        <is>
          <t>/ˈɔː.bɪt/</t>
        </is>
      </c>
      <c r="E211" s="10" t="inlineStr">
        <is>
          <t>Quỹ đạo chuyển động / Quay quanh thiên thể</t>
        </is>
      </c>
      <c r="F211" s="11" t="inlineStr">
        <is>
          <t>B1</t>
        </is>
      </c>
      <c r="G211" s="10" t="inlineStr">
        <is>
          <t>Communications satellites orbit the Earth at thousands of kilometers high.</t>
        </is>
      </c>
      <c r="H211" s="10" t="inlineStr">
        <is>
          <t>revolve around, circle, trajectory</t>
        </is>
      </c>
      <c r="I211" s="10" t="inlineStr">
        <is>
          <t>remain stationary</t>
        </is>
      </c>
      <c r="J211" s="10" t="inlineStr">
        <is>
          <t>in orbit, orbit the Earth, enter orbit</t>
        </is>
      </c>
      <c r="K211" s="10" t="inlineStr">
        <is>
          <t>Cụm: in orbit.</t>
        </is>
      </c>
      <c r="L211" s="11" t="inlineStr">
        <is>
          <t>Đã thuộc</t>
        </is>
      </c>
    </row>
    <row r="212" ht="42" customHeight="1">
      <c r="A212" s="2" t="inlineStr">
        <is>
          <t>Science &amp; Innovation</t>
        </is>
      </c>
      <c r="B212" s="3" t="inlineStr">
        <is>
          <t>telepathy</t>
        </is>
      </c>
      <c r="C212" s="4" t="inlineStr">
        <is>
          <t>noun</t>
        </is>
      </c>
      <c r="D212" s="2" t="inlineStr">
        <is>
          <t>/təˈlep.ə.θi/</t>
        </is>
      </c>
      <c r="E212" s="5" t="inlineStr">
        <is>
          <t>Thần giao cách cảm truyền suy nghĩ trực tiếp</t>
        </is>
      </c>
      <c r="F212" s="6" t="inlineStr">
        <is>
          <t>B2</t>
        </is>
      </c>
      <c r="G212" s="5" t="inlineStr">
        <is>
          <t>In science fiction stories, aliens often communicate via telepathy.</t>
        </is>
      </c>
      <c r="H212" s="5" t="inlineStr">
        <is>
          <t>mind-reading, thought transference</t>
        </is>
      </c>
      <c r="I212" s="5" t="inlineStr">
        <is>
          <t>verbal speech, writing</t>
        </is>
      </c>
      <c r="J212" s="5" t="inlineStr">
        <is>
          <t>communicate by telepathy, power of telepathy</t>
        </is>
      </c>
      <c r="K212" s="5" t="inlineStr">
        <is>
          <t>Tính từ: telepathic.</t>
        </is>
      </c>
      <c r="L212" s="6" t="inlineStr">
        <is>
          <t>Cần ôn lại</t>
        </is>
      </c>
    </row>
    <row r="213" ht="42" customHeight="1">
      <c r="A213" s="7" t="inlineStr">
        <is>
          <t>Science &amp; Innovation</t>
        </is>
      </c>
      <c r="B213" s="8" t="inlineStr">
        <is>
          <t>robotics</t>
        </is>
      </c>
      <c r="C213" s="9" t="inlineStr">
        <is>
          <t>noun</t>
        </is>
      </c>
      <c r="D213" s="7" t="inlineStr">
        <is>
          <t>/rəʊˈbɒt.ɪks/</t>
        </is>
      </c>
      <c r="E213" s="10" t="inlineStr">
        <is>
          <t>Ngành chế tạo và điều khiển người máy robot</t>
        </is>
      </c>
      <c r="F213" s="11" t="inlineStr">
        <is>
          <t>B2</t>
        </is>
      </c>
      <c r="G213" s="10" t="inlineStr">
        <is>
          <t>Advancements in robotics enable surgeons to perform delicate operations.</t>
        </is>
      </c>
      <c r="H213" s="10" t="inlineStr">
        <is>
          <t>robot engineering, cybernetics, automation</t>
        </is>
      </c>
      <c r="I213" s="10" t="inlineStr">
        <is>
          <t>N/A</t>
        </is>
      </c>
      <c r="J213" s="10" t="inlineStr">
        <is>
          <t>field of robotics, medical robotics, industrial robotics</t>
        </is>
      </c>
      <c r="K213" s="10" t="inlineStr">
        <is>
          <t>Người máy: robot.</t>
        </is>
      </c>
      <c r="L213" s="11" t="inlineStr">
        <is>
          <t>Đang học</t>
        </is>
      </c>
    </row>
    <row r="214" ht="42" customHeight="1">
      <c r="A214" s="2" t="inlineStr">
        <is>
          <t>Science &amp; Innovation</t>
        </is>
      </c>
      <c r="B214" s="3" t="inlineStr">
        <is>
          <t>nanotechnology</t>
        </is>
      </c>
      <c r="C214" s="4" t="inlineStr">
        <is>
          <t>noun</t>
        </is>
      </c>
      <c r="D214" s="2" t="inlineStr">
        <is>
          <t>/ˌnæn.əʊ.tekˈnɒl.ə.dʒi/</t>
        </is>
      </c>
      <c r="E214" s="5" t="inlineStr">
        <is>
          <t>Công nghệ nano siêu vi quy mô nguyên tử</t>
        </is>
      </c>
      <c r="F214" s="6" t="inlineStr">
        <is>
          <t>B2</t>
        </is>
      </c>
      <c r="G214" s="5" t="inlineStr">
        <is>
          <t>Nanotechnology allows researchers to deliver cancer drugs directly into cells.</t>
        </is>
      </c>
      <c r="H214" s="5" t="inlineStr">
        <is>
          <t>nanoscience, molecular engineering</t>
        </is>
      </c>
      <c r="I214" s="5" t="inlineStr">
        <is>
          <t>macro-technology</t>
        </is>
      </c>
      <c r="J214" s="5" t="inlineStr">
        <is>
          <t>applications of nanotechnology, field of nanotechnology</t>
        </is>
      </c>
      <c r="K214" s="5" t="inlineStr">
        <is>
          <t>Nano- (siêu vi, một phần tỷ mét).</t>
        </is>
      </c>
      <c r="L214" s="6" t="inlineStr">
        <is>
          <t>Đang học</t>
        </is>
      </c>
    </row>
    <row r="215" ht="42" customHeight="1">
      <c r="A215" s="7" t="inlineStr">
        <is>
          <t>Science &amp; Innovation</t>
        </is>
      </c>
      <c r="B215" s="8" t="inlineStr">
        <is>
          <t>pioneer</t>
        </is>
      </c>
      <c r="C215" s="9" t="inlineStr">
        <is>
          <t>noun/verb</t>
        </is>
      </c>
      <c r="D215" s="7" t="inlineStr">
        <is>
          <t>/ˌpaɪəˈnɪər/</t>
        </is>
      </c>
      <c r="E215" s="10" t="inlineStr">
        <is>
          <t>Người tiên phong mở đường / Đi đầu lĩnh vực</t>
        </is>
      </c>
      <c r="F215" s="11" t="inlineStr">
        <is>
          <t>B2</t>
        </is>
      </c>
      <c r="G215" s="10" t="inlineStr">
        <is>
          <t>Marie Curie was a scientific pioneer who conducted research on radioactivity.</t>
        </is>
      </c>
      <c r="H215" s="10" t="inlineStr">
        <is>
          <t>trailblazer, innovator, groundbreaker</t>
        </is>
      </c>
      <c r="I215" s="10" t="inlineStr">
        <is>
          <t>follower, imitator</t>
        </is>
      </c>
      <c r="J215" s="10" t="inlineStr">
        <is>
          <t>scientific pioneer, pioneer in medicine, pioneer research</t>
        </is>
      </c>
      <c r="K215" s="10" t="inlineStr">
        <is>
          <t>Trọng âm 3: pi-o-NEER.</t>
        </is>
      </c>
      <c r="L215" s="11" t="inlineStr">
        <is>
          <t>Đã thuộc</t>
        </is>
      </c>
    </row>
    <row r="216" ht="42" customHeight="1">
      <c r="A216" s="2" t="inlineStr">
        <is>
          <t>Science &amp; Innovation</t>
        </is>
      </c>
      <c r="B216" s="3" t="inlineStr">
        <is>
          <t>analyze</t>
        </is>
      </c>
      <c r="C216" s="4" t="inlineStr">
        <is>
          <t>verb</t>
        </is>
      </c>
      <c r="D216" s="2" t="inlineStr">
        <is>
          <t>/ˈæn.əl.aɪz/</t>
        </is>
      </c>
      <c r="E216" s="5" t="inlineStr">
        <is>
          <t>Phân tích số liệu hoặc hiện tượng chi tiết</t>
        </is>
      </c>
      <c r="F216" s="6" t="inlineStr">
        <is>
          <t>B1</t>
        </is>
      </c>
      <c r="G216" s="5" t="inlineStr">
        <is>
          <t>Astronomers analyze data collected by deep-space optical telescopes.</t>
        </is>
      </c>
      <c r="H216" s="5" t="inlineStr">
        <is>
          <t>examine, inspect, evaluate, study</t>
        </is>
      </c>
      <c r="I216" s="5" t="inlineStr">
        <is>
          <t>synthesize, combine</t>
        </is>
      </c>
      <c r="J216" s="5" t="inlineStr">
        <is>
          <t>analyze data, analyze results, carefully analyze</t>
        </is>
      </c>
      <c r="K216" s="5" t="inlineStr">
        <is>
          <t>Danh từ: analysis. Số nhiều: analyses.</t>
        </is>
      </c>
      <c r="L216" s="6" t="inlineStr">
        <is>
          <t>Đã thuộc</t>
        </is>
      </c>
    </row>
    <row r="217" ht="42" customHeight="1">
      <c r="A217" s="7" t="inlineStr">
        <is>
          <t>Science &amp; Innovation</t>
        </is>
      </c>
      <c r="B217" s="8" t="inlineStr">
        <is>
          <t>sensor</t>
        </is>
      </c>
      <c r="C217" s="9" t="inlineStr">
        <is>
          <t>noun</t>
        </is>
      </c>
      <c r="D217" s="7" t="inlineStr">
        <is>
          <t>/ˈsen.sər/</t>
        </is>
      </c>
      <c r="E217" s="10" t="inlineStr">
        <is>
          <t>Thiết bị cảm biến nhận biết nhiệt độ, chuyển động</t>
        </is>
      </c>
      <c r="F217" s="11" t="inlineStr">
        <is>
          <t>B1</t>
        </is>
      </c>
      <c r="G217" s="10" t="inlineStr">
        <is>
          <t>Streetlights with motion sensors turn on only when pedestrians approach.</t>
        </is>
      </c>
      <c r="H217" s="10" t="inlineStr">
        <is>
          <t>detector, sensing device, transducer</t>
        </is>
      </c>
      <c r="I217" s="10" t="inlineStr">
        <is>
          <t>N/A</t>
        </is>
      </c>
      <c r="J217" s="10" t="inlineStr">
        <is>
          <t>motion sensor, temperature sensor, smart sensor</t>
        </is>
      </c>
      <c r="K217" s="10" t="inlineStr">
        <is>
          <t>Động từ: sense.</t>
        </is>
      </c>
      <c r="L217" s="11" t="inlineStr">
        <is>
          <t>Đã thuộc</t>
        </is>
      </c>
    </row>
  </sheetData>
  <autoFilter ref="A1:L217"/>
  <conditionalFormatting sqref="L2:L217">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2">
    <dataValidation sqref="F2:F217" showDropDown="0" showInputMessage="0" showErrorMessage="0" allowBlank="1" type="list">
      <formula1>"A2,B1,B2,C1"</formula1>
    </dataValidation>
    <dataValidation sqref="L2:L217" showDropDown="0" showInputMessage="0" showErrorMessage="0" allowBlank="1" type="list">
      <formula1>"Đã thuộc,Đang học,Cần ôn lại"</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2"/>
  <sheetViews>
    <sheetView showGridLines="1" workbookViewId="0">
      <selection activeCell="A1" sqref="A1"/>
    </sheetView>
  </sheetViews>
  <sheetFormatPr baseColWidth="8" defaultRowHeight="15"/>
  <cols>
    <col width="30" customWidth="1" min="1" max="1"/>
    <col width="15" customWidth="1" min="2" max="2"/>
    <col width="14" customWidth="1" min="3" max="3"/>
    <col width="20" customWidth="1" min="4" max="4"/>
    <col width="6" customWidth="1" min="5" max="5"/>
    <col width="16" customWidth="1" min="6" max="6"/>
    <col width="14" customWidth="1" min="7" max="7"/>
    <col width="14" customWidth="1" min="8" max="8"/>
    <col width="26" customWidth="1" min="9" max="9"/>
  </cols>
  <sheetData>
    <row r="1" ht="32" customHeight="1">
      <c r="A1" s="12" t="inlineStr">
        <is>
          <t>TỔNG HỢP VÀ PHÂN TÍCH TỪ VỰNG IELTS BAND 4.5 - 6.0</t>
        </is>
      </c>
    </row>
    <row r="2" ht="20" customHeight="1">
      <c r="A2" s="13" t="inlineStr">
        <is>
          <t>Hệ thống 216+ từ vựng nền tảng và phát triển học thuật (B1 - B2) phân bổ qua 12 chủ đề cốt lõi giúp bứt phá band điểm IELTS từ 4.5 lên 6.0 - 6.5+</t>
        </is>
      </c>
    </row>
    <row r="4" ht="18" customHeight="1">
      <c r="B4" s="14" t="inlineStr">
        <is>
          <t>TỔNG SỐ TỪ VỰNG</t>
        </is>
      </c>
      <c r="C4" s="15" t="n"/>
      <c r="D4" s="14" t="inlineStr">
        <is>
          <t>SỐ CHỦ ĐỀ CỐT LÕI</t>
        </is>
      </c>
      <c r="E4" s="15" t="n"/>
      <c r="F4" s="14" t="inlineStr">
        <is>
          <t>TRÌNH ĐỘ B1 (NỀN TẢNG)</t>
        </is>
      </c>
      <c r="G4" s="15" t="n"/>
      <c r="H4" s="14" t="inlineStr">
        <is>
          <t>TRÌNH ĐỘ B2 (BỨT PHÁ)</t>
        </is>
      </c>
      <c r="I4" s="15" t="n"/>
    </row>
    <row r="5" ht="24" customHeight="1">
      <c r="B5" s="16">
        <f>COUNTA('Từ Vựng IELTS 4.5 - 6.0'!B2:B217)</f>
        <v/>
      </c>
      <c r="C5" s="15" t="n"/>
      <c r="D5" s="16" t="inlineStr">
        <is>
          <t>12</t>
        </is>
      </c>
      <c r="E5" s="15" t="n"/>
      <c r="F5" s="16">
        <f>COUNTIF('Từ Vựng IELTS 4.5 - 6.0'!F2:F217, "B1") + COUNTIF('Từ Vựng IELTS 4.5 - 6.0'!F2:F217, "A2")</f>
        <v/>
      </c>
      <c r="G5" s="15" t="n"/>
      <c r="H5" s="16">
        <f>COUNTIF('Từ Vựng IELTS 4.5 - 6.0'!F2:F217, "B2")</f>
        <v/>
      </c>
      <c r="I5" s="15" t="n"/>
    </row>
    <row r="6" ht="18" customHeight="1">
      <c r="B6" s="15" t="n"/>
      <c r="C6" s="15" t="n"/>
      <c r="D6" s="15" t="n"/>
      <c r="E6" s="15" t="n"/>
      <c r="F6" s="15" t="n"/>
      <c r="G6" s="15" t="n"/>
      <c r="H6" s="15" t="n"/>
      <c r="I6" s="15" t="n"/>
    </row>
    <row r="8" ht="22" customHeight="1">
      <c r="A8" s="17" t="inlineStr">
        <is>
          <t>BẢNG 1: PHÂN BỐ TỪ VỰNG THEO 12 CHỦ ĐỀ IELTS</t>
        </is>
      </c>
      <c r="F8" s="17" t="inlineStr">
        <is>
          <t>BẢNG 2: PHÂN BỐ THEO TRÌNH ĐỘ CEFR</t>
        </is>
      </c>
    </row>
    <row r="9" ht="24" customHeight="1">
      <c r="A9" s="1" t="inlineStr">
        <is>
          <t>Mã &amp; Tên Chủ Đề</t>
        </is>
      </c>
      <c r="B9" s="1" t="inlineStr">
        <is>
          <t>Số Từ Vựng</t>
        </is>
      </c>
      <c r="C9" s="1" t="inlineStr">
        <is>
          <t>Tỷ Lệ (%)</t>
        </is>
      </c>
      <c r="D9" s="1" t="inlineStr">
        <is>
          <t>Cấp Độ Mục Tiêu</t>
        </is>
      </c>
      <c r="F9" s="1" t="inlineStr">
        <is>
          <t>Cấp Độ CEFR</t>
        </is>
      </c>
      <c r="G9" s="1" t="inlineStr">
        <is>
          <t>Số Từ Vựng</t>
        </is>
      </c>
      <c r="H9" s="1" t="inlineStr">
        <is>
          <t>Tỷ Lệ (%)</t>
        </is>
      </c>
    </row>
    <row r="10" ht="20" customHeight="1">
      <c r="A10" s="5" t="inlineStr">
        <is>
          <t>Education &amp; School Life</t>
        </is>
      </c>
      <c r="B10" s="6">
        <f>COUNTIF('Từ Vựng IELTS 4.5 - 6.0'!$A$2:$A$217, A10)</f>
        <v/>
      </c>
      <c r="C10" s="18">
        <f>B10/$B$22</f>
        <v/>
      </c>
      <c r="D10" s="4" t="inlineStr">
        <is>
          <t>Band 5.0 - 6.5</t>
        </is>
      </c>
      <c r="F10" s="6" t="inlineStr">
        <is>
          <t>A2</t>
        </is>
      </c>
      <c r="G10" s="6">
        <f>COUNTIF('Từ Vựng IELTS 4.5 - 6.0'!$F$2:$F$217, "A2")</f>
        <v/>
      </c>
      <c r="H10" s="18">
        <f>G10/$G$13</f>
        <v/>
      </c>
    </row>
    <row r="11" ht="20" customHeight="1">
      <c r="A11" s="10" t="inlineStr">
        <is>
          <t>Environment &amp; Climate</t>
        </is>
      </c>
      <c r="B11" s="11">
        <f>COUNTIF('Từ Vựng IELTS 4.5 - 6.0'!$A$2:$A$217, A11)</f>
        <v/>
      </c>
      <c r="C11" s="19">
        <f>B11/$B$22</f>
        <v/>
      </c>
      <c r="D11" s="9" t="inlineStr">
        <is>
          <t>Band 5.0 - 6.5</t>
        </is>
      </c>
      <c r="F11" s="11" t="inlineStr">
        <is>
          <t>B1</t>
        </is>
      </c>
      <c r="G11" s="11">
        <f>COUNTIF('Từ Vựng IELTS 4.5 - 6.0'!$F$2:$F$217, "B1")</f>
        <v/>
      </c>
      <c r="H11" s="19">
        <f>G11/$G$13</f>
        <v/>
      </c>
    </row>
    <row r="12" ht="20" customHeight="1">
      <c r="A12" s="5" t="inlineStr">
        <is>
          <t>Technology &amp; Media</t>
        </is>
      </c>
      <c r="B12" s="6">
        <f>COUNTIF('Từ Vựng IELTS 4.5 - 6.0'!$A$2:$A$217, A12)</f>
        <v/>
      </c>
      <c r="C12" s="18">
        <f>B12/$B$22</f>
        <v/>
      </c>
      <c r="D12" s="4" t="inlineStr">
        <is>
          <t>Band 5.0 - 6.5</t>
        </is>
      </c>
      <c r="F12" s="6" t="inlineStr">
        <is>
          <t>B2</t>
        </is>
      </c>
      <c r="G12" s="6">
        <f>COUNTIF('Từ Vựng IELTS 4.5 - 6.0'!$F$2:$F$217, "B2")</f>
        <v/>
      </c>
      <c r="H12" s="18">
        <f>G12/$G$13</f>
        <v/>
      </c>
    </row>
    <row r="13" ht="22" customHeight="1">
      <c r="A13" s="10" t="inlineStr">
        <is>
          <t>Work &amp; Business</t>
        </is>
      </c>
      <c r="B13" s="11">
        <f>COUNTIF('Từ Vựng IELTS 4.5 - 6.0'!$A$2:$A$217, A13)</f>
        <v/>
      </c>
      <c r="C13" s="19">
        <f>B13/$B$22</f>
        <v/>
      </c>
      <c r="D13" s="9" t="inlineStr">
        <is>
          <t>Band 5.0 - 6.5</t>
        </is>
      </c>
      <c r="F13" s="20" t="inlineStr">
        <is>
          <t>Tổng cộng</t>
        </is>
      </c>
      <c r="G13" s="20">
        <f>SUM(G10:G12)</f>
        <v/>
      </c>
      <c r="H13" s="21">
        <f>SUM(H10:H12)</f>
        <v/>
      </c>
    </row>
    <row r="14" ht="20" customHeight="1">
      <c r="A14" s="5" t="inlineStr">
        <is>
          <t>Health &amp; Fitness</t>
        </is>
      </c>
      <c r="B14" s="6">
        <f>COUNTIF('Từ Vựng IELTS 4.5 - 6.0'!$A$2:$A$217, A14)</f>
        <v/>
      </c>
      <c r="C14" s="18">
        <f>B14/$B$22</f>
        <v/>
      </c>
      <c r="D14" s="4" t="inlineStr">
        <is>
          <t>Band 5.0 - 6.5</t>
        </is>
      </c>
    </row>
    <row r="15" ht="20" customHeight="1">
      <c r="A15" s="10" t="inlineStr">
        <is>
          <t>Society &amp; Family</t>
        </is>
      </c>
      <c r="B15" s="11">
        <f>COUNTIF('Từ Vựng IELTS 4.5 - 6.0'!$A$2:$A$217, A15)</f>
        <v/>
      </c>
      <c r="C15" s="19">
        <f>B15/$B$22</f>
        <v/>
      </c>
      <c r="D15" s="9" t="inlineStr">
        <is>
          <t>Band 5.0 - 6.5</t>
        </is>
      </c>
    </row>
    <row r="16" ht="20" customHeight="1">
      <c r="A16" s="5" t="inlineStr">
        <is>
          <t>Travel &amp; Transport</t>
        </is>
      </c>
      <c r="B16" s="6">
        <f>COUNTIF('Từ Vựng IELTS 4.5 - 6.0'!$A$2:$A$217, A16)</f>
        <v/>
      </c>
      <c r="C16" s="18">
        <f>B16/$B$22</f>
        <v/>
      </c>
      <c r="D16" s="4" t="inlineStr">
        <is>
          <t>Band 4.5 - 6.0</t>
        </is>
      </c>
    </row>
    <row r="17" ht="20" customHeight="1">
      <c r="A17" s="10" t="inlineStr">
        <is>
          <t>Cities &amp; Architecture</t>
        </is>
      </c>
      <c r="B17" s="11">
        <f>COUNTIF('Từ Vựng IELTS 4.5 - 6.0'!$A$2:$A$217, A17)</f>
        <v/>
      </c>
      <c r="C17" s="19">
        <f>B17/$B$22</f>
        <v/>
      </c>
      <c r="D17" s="9" t="inlineStr">
        <is>
          <t>Band 5.0 - 6.5</t>
        </is>
      </c>
    </row>
    <row r="18" ht="20" customHeight="1">
      <c r="A18" s="5" t="inlineStr">
        <is>
          <t>Arts &amp; Culture</t>
        </is>
      </c>
      <c r="B18" s="6">
        <f>COUNTIF('Từ Vựng IELTS 4.5 - 6.0'!$A$2:$A$217, A18)</f>
        <v/>
      </c>
      <c r="C18" s="18">
        <f>B18/$B$22</f>
        <v/>
      </c>
      <c r="D18" s="4" t="inlineStr">
        <is>
          <t>Band 5.0 - 6.5</t>
        </is>
      </c>
    </row>
    <row r="19" ht="20" customHeight="1">
      <c r="A19" s="10" t="inlineStr">
        <is>
          <t>Crime &amp; Social Issues</t>
        </is>
      </c>
      <c r="B19" s="11">
        <f>COUNTIF('Từ Vựng IELTS 4.5 - 6.0'!$A$2:$A$217, A19)</f>
        <v/>
      </c>
      <c r="C19" s="19">
        <f>B19/$B$22</f>
        <v/>
      </c>
      <c r="D19" s="9" t="inlineStr">
        <is>
          <t>Band 5.0 - 6.5</t>
        </is>
      </c>
    </row>
    <row r="20" ht="20" customHeight="1">
      <c r="A20" s="5" t="inlineStr">
        <is>
          <t>Shopping &amp; Money</t>
        </is>
      </c>
      <c r="B20" s="6">
        <f>COUNTIF('Từ Vựng IELTS 4.5 - 6.0'!$A$2:$A$217, A20)</f>
        <v/>
      </c>
      <c r="C20" s="18">
        <f>B20/$B$22</f>
        <v/>
      </c>
      <c r="D20" s="4" t="inlineStr">
        <is>
          <t>Band 4.5 - 6.0</t>
        </is>
      </c>
    </row>
    <row r="21" ht="20" customHeight="1">
      <c r="A21" s="10" t="inlineStr">
        <is>
          <t>Science &amp; Innovation</t>
        </is>
      </c>
      <c r="B21" s="11">
        <f>COUNTIF('Từ Vựng IELTS 4.5 - 6.0'!$A$2:$A$217, A21)</f>
        <v/>
      </c>
      <c r="C21" s="19">
        <f>B21/$B$22</f>
        <v/>
      </c>
      <c r="D21" s="9" t="inlineStr">
        <is>
          <t>Band 5.0 - 6.5</t>
        </is>
      </c>
    </row>
    <row r="22" ht="22" customHeight="1">
      <c r="A22" s="22" t="inlineStr">
        <is>
          <t>Tổng cộng</t>
        </is>
      </c>
      <c r="B22" s="20">
        <f>SUM(B10:B21)</f>
        <v/>
      </c>
      <c r="C22" s="21">
        <f>SUM(C10:C21)</f>
        <v/>
      </c>
      <c r="D22" s="20" t="inlineStr">
        <is>
          <t>12 Chủ đề toàn diện</t>
        </is>
      </c>
    </row>
    <row r="42">
      <c r="A42" s="17" t="inlineStr">
        <is>
          <t>LỘ TRÌNH VÀ CHIẾN LƯỢC BỨT PHÁ TỪ VỰNG IELTS TỪ BAND 4.5 LÊN 6.0 - 6.5+</t>
        </is>
      </c>
    </row>
    <row r="43">
      <c r="A43" s="23" t="inlineStr">
        <is>
          <t>1. Bước chuyển hóa từ vựng nền tảng (Từ B1 lên B2):</t>
        </is>
      </c>
    </row>
    <row r="44" ht="28" customHeight="1">
      <c r="A44" s="24" t="inlineStr">
        <is>
          <t>Người học ở mức Band 4.5-5.0 thường phụ thuộc vào các từ vựng đơn giản (như good, bad, big, a lot of, help, solve). Để đạt Band 6.0-6.5+, bạn cần chuyển sang sử dụng các từ học thuật chuẩn xác (như beneficial, detrimental, substantial, facilitate, resolve).</t>
        </is>
      </c>
    </row>
    <row r="45">
      <c r="A45" s="23" t="inlineStr">
        <is>
          <t>2. Tuyệt đối học từ theo Cụm (Collocations Mastery):</t>
        </is>
      </c>
    </row>
    <row r="46" ht="28" customHeight="1">
      <c r="A46" s="24" t="inlineStr">
        <is>
          <t>Không học từ vựng riêng lẻ. Hãy ghi nhớ cả cụm động từ và giới từ đi kèm (ví dụ: 'face redundancy', 'bridge the generation gap', 'traffic congestion', 'academic discipline', 'conserve energy'). Dùng đúng collocation giúp câu văn mượt mà và tự nhiên.</t>
        </is>
      </c>
    </row>
    <row r="47">
      <c r="A47" s="23" t="inlineStr">
        <is>
          <t>3. Nhận diện và làm chủ Họ từ (Word Families):</t>
        </is>
      </c>
    </row>
    <row r="48" ht="28" customHeight="1">
      <c r="A48" s="24" t="inlineStr">
        <is>
          <t>Mỗi khi học một từ mới, hãy tra cứu đầy đủ danh từ, động từ, tính từ và trạng từ của từ đó (ví dụ: contaminate -&gt; contamination -&gt; contaminant; sustain -&gt; sustainable -&gt; sustainability). Tránh lỗi sai dạng từ (Word Form Error) thường gặp ở mức 5.0.</t>
        </is>
      </c>
    </row>
    <row r="49">
      <c r="A49" s="23" t="inlineStr">
        <is>
          <t>4. Rèn luyện kỹ năng Paraphrasing (Diễn đạt tương đương):</t>
        </is>
      </c>
    </row>
    <row r="50" ht="28" customHeight="1">
      <c r="A50" s="24" t="inlineStr">
        <is>
          <t>Khai thác tối đa cột Synonyms (Từ đồng nghĩa) và Antonyms (Từ trái nghĩa) trong file để luyện tập viết lại đề bài (Introduction Paraphrasing) và triển khai luận điểm trong Writing Task 2 mà không bị lặp từ.</t>
        </is>
      </c>
    </row>
    <row r="51">
      <c r="A51" s="23" t="inlineStr">
        <is>
          <t>5. Áp dụng kỹ thuật Lặp lại ngắt quãng (Spaced Repetition):</t>
        </is>
      </c>
    </row>
    <row r="52" ht="28" customHeight="1">
      <c r="A52" s="24" t="inlineStr">
        <is>
          <t>Sử dụng Tab 'Flashcard &amp; Luyện Tập' để giải quyết 36 bài tập mẫu. Định kỳ chuyển trạng thái các từ hay quên thành 'Cần ôn lại' để ôn tập lại sau 1 ngày, 3 ngày, 7 ngày và 14 ngày cho đến khi thuộc lòng.</t>
        </is>
      </c>
    </row>
  </sheetData>
  <mergeCells count="20">
    <mergeCell ref="F4:G4"/>
    <mergeCell ref="A46:I46"/>
    <mergeCell ref="H4:I4"/>
    <mergeCell ref="A50:I50"/>
    <mergeCell ref="A2:I2"/>
    <mergeCell ref="A47:I47"/>
    <mergeCell ref="B5:C6"/>
    <mergeCell ref="D5:E6"/>
    <mergeCell ref="H5:I6"/>
    <mergeCell ref="A52:I52"/>
    <mergeCell ref="A43:I43"/>
    <mergeCell ref="A44:I44"/>
    <mergeCell ref="D4:E4"/>
    <mergeCell ref="A48:I48"/>
    <mergeCell ref="A49:I49"/>
    <mergeCell ref="A51:I51"/>
    <mergeCell ref="A1:I1"/>
    <mergeCell ref="F5:G6"/>
    <mergeCell ref="A45:I45"/>
    <mergeCell ref="B4:C4"/>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H40"/>
  <sheetViews>
    <sheetView showGridLines="1" workbookViewId="0">
      <pane ySplit="4" topLeftCell="A5" activePane="bottomLeft" state="frozen"/>
      <selection pane="bottomLeft" activeCell="A1" sqref="A1"/>
    </sheetView>
  </sheetViews>
  <sheetFormatPr baseColWidth="8" defaultRowHeight="15"/>
  <cols>
    <col width="8" customWidth="1" min="1" max="1"/>
    <col width="26" customWidth="1" min="2" max="2"/>
    <col width="24" customWidth="1" min="3" max="3"/>
    <col width="24" customWidth="1" min="4" max="4"/>
    <col width="30" customWidth="1" min="5" max="5"/>
    <col width="52" customWidth="1" min="6" max="6"/>
    <col width="18" customWidth="1" min="7" max="7"/>
    <col width="38" customWidth="1" min="8" max="8"/>
  </cols>
  <sheetData>
    <row r="1" ht="32" customHeight="1">
      <c r="A1" s="12" t="inlineStr">
        <is>
          <t>BẢNG LUYỆN TẬP &amp; ĐÁNH GIÁ MỨC ĐỘ GHI NHỚ TỪ VỰNG IELTS BAND 4.5 - 6.0</t>
        </is>
      </c>
    </row>
    <row r="2" ht="20" customHeight="1">
      <c r="A2" s="13" t="inlineStr">
        <is>
          <t>Hướng dẫn: Tự điền từ vào chỗ trống trong các câu mẫu IELTS Writing/Speaking, sau đó đánh giá mức độ ghi nhớ ở cột 'Trạng Thái Ôn Tập' để lên kế hoạch ôn luyện định kỳ.</t>
        </is>
      </c>
    </row>
    <row r="4" ht="28" customHeight="1">
      <c r="A4" s="1" t="inlineStr">
        <is>
          <t>STT</t>
        </is>
      </c>
      <c r="B4" s="1" t="inlineStr">
        <is>
          <t>Chủ Đề (Topic)</t>
        </is>
      </c>
      <c r="C4" s="1" t="inlineStr">
        <is>
          <t>Từ Cần Nhớ (Target Term)</t>
        </is>
      </c>
      <c r="D4" s="1" t="inlineStr">
        <is>
          <t>Loại Từ &amp; Phiên Âm</t>
        </is>
      </c>
      <c r="E4" s="1" t="inlineStr">
        <is>
          <t>Định Nghĩa Tiếng Việt</t>
        </is>
      </c>
      <c r="F4" s="1" t="inlineStr">
        <is>
          <t>Câu Hỏi Luyện Tập (Điền từ vào chỗ trống)</t>
        </is>
      </c>
      <c r="G4" s="1" t="inlineStr">
        <is>
          <t>Trạng Thái Ôn Tập</t>
        </is>
      </c>
      <c r="H4" s="1" t="inlineStr">
        <is>
          <t>Ghi Chú Ôn Tập Cá Nhân</t>
        </is>
      </c>
    </row>
    <row r="5" ht="36" customHeight="1">
      <c r="A5" s="11" t="n">
        <v>1</v>
      </c>
      <c r="B5" s="7" t="inlineStr">
        <is>
          <t>Education &amp; School Life</t>
        </is>
      </c>
      <c r="C5" s="8" t="inlineStr">
        <is>
          <t>curriculum</t>
        </is>
      </c>
      <c r="D5" s="9" t="inlineStr">
        <is>
          <t>noun | /kəˈrɪk.jə.ləm/</t>
        </is>
      </c>
      <c r="E5" s="10" t="inlineStr">
        <is>
          <t>Chương trình giảng dạy</t>
        </is>
      </c>
      <c r="F5" s="10" t="inlineStr">
        <is>
          <t>School authorities ought to incorporate practical financial literacy into the national secondary _____.</t>
        </is>
      </c>
      <c r="G5" s="11" t="inlineStr">
        <is>
          <t>Đã thuộc</t>
        </is>
      </c>
      <c r="H5" s="10" t="inlineStr">
        <is>
          <t>Số nhiều là curricula</t>
        </is>
      </c>
    </row>
    <row r="6" ht="36" customHeight="1">
      <c r="A6" s="6" t="n">
        <v>2</v>
      </c>
      <c r="B6" s="2" t="inlineStr">
        <is>
          <t>Education &amp; School Life</t>
        </is>
      </c>
      <c r="C6" s="3" t="inlineStr">
        <is>
          <t>compulsory</t>
        </is>
      </c>
      <c r="D6" s="4" t="inlineStr">
        <is>
          <t>adj | /kəmˈpʌl.sər.i/</t>
        </is>
      </c>
      <c r="E6" s="5" t="inlineStr">
        <is>
          <t>Bắt buộc theo quy định</t>
        </is>
      </c>
      <c r="F6" s="5" t="inlineStr">
        <is>
          <t>In most modern societies, primary and lower-secondary schooling are made legally _____ for all children.</t>
        </is>
      </c>
      <c r="G6" s="6" t="inlineStr">
        <is>
          <t>Đã thuộc</t>
        </is>
      </c>
      <c r="H6" s="5" t="inlineStr">
        <is>
          <t>Trái nghĩa: optional / elective</t>
        </is>
      </c>
    </row>
    <row r="7" ht="36" customHeight="1">
      <c r="A7" s="11" t="n">
        <v>3</v>
      </c>
      <c r="B7" s="7" t="inlineStr">
        <is>
          <t>Education &amp; School Life</t>
        </is>
      </c>
      <c r="C7" s="8" t="inlineStr">
        <is>
          <t>vocational</t>
        </is>
      </c>
      <c r="D7" s="9" t="inlineStr">
        <is>
          <t>adj | /vəʊˈkeɪ.ʃən.əl/</t>
        </is>
      </c>
      <c r="E7" s="10" t="inlineStr">
        <is>
          <t>Đào tạo nghề thực hành</t>
        </is>
      </c>
      <c r="F7" s="10" t="inlineStr">
        <is>
          <t>Attending _____ schools equips non-academic students with practical skills like carpentry and automotive repair.</t>
        </is>
      </c>
      <c r="G7" s="11" t="inlineStr">
        <is>
          <t>Đang học</t>
        </is>
      </c>
      <c r="H7" s="10" t="inlineStr">
        <is>
          <t>Danh từ: vocation</t>
        </is>
      </c>
    </row>
    <row r="8" ht="36" customHeight="1">
      <c r="A8" s="6" t="n">
        <v>4</v>
      </c>
      <c r="B8" s="2" t="inlineStr">
        <is>
          <t>Environment &amp; Climate</t>
        </is>
      </c>
      <c r="C8" s="3" t="inlineStr">
        <is>
          <t>deforestation</t>
        </is>
      </c>
      <c r="D8" s="4" t="inlineStr">
        <is>
          <t>noun | /diːˌfɒr.ɪˈsteɪ.ʃən/</t>
        </is>
      </c>
      <c r="E8" s="5" t="inlineStr">
        <is>
          <t>Nạn chặt phá rừng</t>
        </is>
      </c>
      <c r="F8" s="5" t="inlineStr">
        <is>
          <t>Illegal commercial _____ in tropical regions destroys natural wildlife habitats and drives global warming.</t>
        </is>
      </c>
      <c r="G8" s="6" t="inlineStr">
        <is>
          <t>Đã thuộc</t>
        </is>
      </c>
      <c r="H8" s="5" t="inlineStr">
        <is>
          <t>Trái nghĩa: afforestation</t>
        </is>
      </c>
    </row>
    <row r="9" ht="36" customHeight="1">
      <c r="A9" s="11" t="n">
        <v>5</v>
      </c>
      <c r="B9" s="7" t="inlineStr">
        <is>
          <t>Environment &amp; Climate</t>
        </is>
      </c>
      <c r="C9" s="8" t="inlineStr">
        <is>
          <t>biodiversity</t>
        </is>
      </c>
      <c r="D9" s="9" t="inlineStr">
        <is>
          <t>noun | /ˌbaɪ.əʊ.daɪˈvɜː.sə.ti/</t>
        </is>
      </c>
      <c r="E9" s="10" t="inlineStr">
        <is>
          <t>Đa dạng sinh học</t>
        </is>
      </c>
      <c r="F9" s="10" t="inlineStr">
        <is>
          <t>National parks are vital to preserve the rich _____ of endangered native plants and animal species.</t>
        </is>
      </c>
      <c r="G9" s="11" t="inlineStr">
        <is>
          <t>Đã thuộc</t>
        </is>
      </c>
      <c r="H9" s="10" t="inlineStr">
        <is>
          <t>Trọng âm 4: bi-o-di-VER-si-ty</t>
        </is>
      </c>
    </row>
    <row r="10" ht="36" customHeight="1">
      <c r="A10" s="6" t="n">
        <v>6</v>
      </c>
      <c r="B10" s="2" t="inlineStr">
        <is>
          <t>Environment &amp; Climate</t>
        </is>
      </c>
      <c r="C10" s="3" t="inlineStr">
        <is>
          <t>fossil fuel</t>
        </is>
      </c>
      <c r="D10" s="4" t="inlineStr">
        <is>
          <t>noun phr | /ˈfɒs.əl ˌfjuː.əl/</t>
        </is>
      </c>
      <c r="E10" s="5" t="inlineStr">
        <is>
          <t>Nhiên liệu hóa thạch</t>
        </is>
      </c>
      <c r="F10" s="5" t="inlineStr">
        <is>
          <t>Phasing out our heavy reliance on _____ like coal and oil is crucial to meet international climate targets.</t>
        </is>
      </c>
      <c r="G10" s="6" t="inlineStr">
        <is>
          <t>Đang học</t>
        </is>
      </c>
      <c r="H10" s="5" t="inlineStr">
        <is>
          <t>Cụm: phase out fossil fuels</t>
        </is>
      </c>
    </row>
    <row r="11" ht="36" customHeight="1">
      <c r="A11" s="11" t="n">
        <v>7</v>
      </c>
      <c r="B11" s="7" t="inlineStr">
        <is>
          <t>Technology &amp; Media</t>
        </is>
      </c>
      <c r="C11" s="8" t="inlineStr">
        <is>
          <t>interactive</t>
        </is>
      </c>
      <c r="D11" s="9" t="inlineStr">
        <is>
          <t>adj | /ˌɪn.təˈræk.tɪv/</t>
        </is>
      </c>
      <c r="E11" s="10" t="inlineStr">
        <is>
          <t>Có tính tương tác cao</t>
        </is>
      </c>
      <c r="F11" s="10" t="inlineStr">
        <is>
          <t>Smart classrooms use _____ touchscreens and educational software to engage students in dynamic learning.</t>
        </is>
      </c>
      <c r="G11" s="11" t="inlineStr">
        <is>
          <t>Đã thuộc</t>
        </is>
      </c>
      <c r="H11" s="10" t="inlineStr">
        <is>
          <t>Động từ: interact with</t>
        </is>
      </c>
    </row>
    <row r="12" ht="36" customHeight="1">
      <c r="A12" s="6" t="n">
        <v>8</v>
      </c>
      <c r="B12" s="2" t="inlineStr">
        <is>
          <t>Technology &amp; Media</t>
        </is>
      </c>
      <c r="C12" s="3" t="inlineStr">
        <is>
          <t>cybersecurity</t>
        </is>
      </c>
      <c r="D12" s="4" t="inlineStr">
        <is>
          <t>noun | /ˈsaɪ.bə.sɪˌkjʊə.rə.ti/</t>
        </is>
      </c>
      <c r="E12" s="5" t="inlineStr">
        <is>
          <t>An ninh mạng số</t>
        </is>
      </c>
      <c r="F12" s="5" t="inlineStr">
        <is>
          <t>Multinational banking corporations invest millions annually to reinforce their digital _____ against hackers.</t>
        </is>
      </c>
      <c r="G12" s="6" t="inlineStr">
        <is>
          <t>Đang học</t>
        </is>
      </c>
      <c r="H12" s="5" t="inlineStr">
        <is>
          <t>Cyber- = không gian mạng</t>
        </is>
      </c>
    </row>
    <row r="13" ht="36" customHeight="1">
      <c r="A13" s="11" t="n">
        <v>9</v>
      </c>
      <c r="B13" s="7" t="inlineStr">
        <is>
          <t>Technology &amp; Media</t>
        </is>
      </c>
      <c r="C13" s="8" t="inlineStr">
        <is>
          <t>obsolete</t>
        </is>
      </c>
      <c r="D13" s="9" t="inlineStr">
        <is>
          <t>adj | /ˌɒb.səˈliːt/</t>
        </is>
      </c>
      <c r="E13" s="10" t="inlineStr">
        <is>
          <t>Lỗi thời không dùng nữa</t>
        </is>
      </c>
      <c r="F13" s="10" t="inlineStr">
        <is>
          <t>The rapid creation of high-speed cloud storage has rendered physical floppy disks completely _____.</t>
        </is>
      </c>
      <c r="G13" s="11" t="inlineStr">
        <is>
          <t>Cần ôn lại</t>
        </is>
      </c>
      <c r="H13" s="10" t="inlineStr">
        <is>
          <t>Cụm: render sth obsolete</t>
        </is>
      </c>
    </row>
    <row r="14" ht="36" customHeight="1">
      <c r="A14" s="6" t="n">
        <v>10</v>
      </c>
      <c r="B14" s="2" t="inlineStr">
        <is>
          <t>Work &amp; Business</t>
        </is>
      </c>
      <c r="C14" s="3" t="inlineStr">
        <is>
          <t>applicant</t>
        </is>
      </c>
      <c r="D14" s="4" t="inlineStr">
        <is>
          <t>noun | /ˈæp.lɪ.kənt/</t>
        </is>
      </c>
      <c r="E14" s="5" t="inlineStr">
        <is>
          <t>Người nộp đơn ứng tuyển</t>
        </is>
      </c>
      <c r="F14" s="5" t="inlineStr">
        <is>
          <t>More than two hundred qualified _____ submitted their resumes for the senior project manager vacancy.</t>
        </is>
      </c>
      <c r="G14" s="6" t="inlineStr">
        <is>
          <t>Đã thuộc</t>
        </is>
      </c>
      <c r="H14" s="5" t="inlineStr">
        <is>
          <t>Động từ: apply for</t>
        </is>
      </c>
    </row>
    <row r="15" ht="36" customHeight="1">
      <c r="A15" s="11" t="n">
        <v>11</v>
      </c>
      <c r="B15" s="7" t="inlineStr">
        <is>
          <t>Work &amp; Business</t>
        </is>
      </c>
      <c r="C15" s="8" t="inlineStr">
        <is>
          <t>entrepreneur</t>
        </is>
      </c>
      <c r="D15" s="9" t="inlineStr">
        <is>
          <t>noun | /ˌɒn.trə.prəˈnɜːr/</t>
        </is>
      </c>
      <c r="E15" s="10" t="inlineStr">
        <is>
          <t>Doanh nhân khởi nghiệp</t>
        </is>
      </c>
      <c r="F15" s="10" t="inlineStr">
        <is>
          <t>Young tech _____ in Vietnam are developing creative mobile applications for international consumers.</t>
        </is>
      </c>
      <c r="G15" s="11" t="inlineStr">
        <is>
          <t>Đang học</t>
        </is>
      </c>
      <c r="H15" s="10" t="inlineStr">
        <is>
          <t>Trọng âm cuối: en-tre-pre-NEUR</t>
        </is>
      </c>
    </row>
    <row r="16" ht="36" customHeight="1">
      <c r="A16" s="6" t="n">
        <v>12</v>
      </c>
      <c r="B16" s="2" t="inlineStr">
        <is>
          <t>Work &amp; Business</t>
        </is>
      </c>
      <c r="C16" s="3" t="inlineStr">
        <is>
          <t>telecommuting</t>
        </is>
      </c>
      <c r="D16" s="4" t="inlineStr">
        <is>
          <t>noun | /ˌtel.ɪ.kəˈmjuː.tɪŋ/</t>
        </is>
      </c>
      <c r="E16" s="5" t="inlineStr">
        <is>
          <t>Làm việc từ xa tại nhà</t>
        </is>
      </c>
      <c r="F16" s="5" t="inlineStr">
        <is>
          <t>Embracing _____ helps office employees save hours of daily commuting and improves work-life balance.</t>
        </is>
      </c>
      <c r="G16" s="6" t="inlineStr">
        <is>
          <t>Đã thuộc</t>
        </is>
      </c>
      <c r="H16" s="5" t="inlineStr">
        <is>
          <t>Đồng nghĩa: remote work / WFH</t>
        </is>
      </c>
    </row>
    <row r="17" ht="36" customHeight="1">
      <c r="A17" s="11" t="n">
        <v>13</v>
      </c>
      <c r="B17" s="7" t="inlineStr">
        <is>
          <t>Health &amp; Fitness</t>
        </is>
      </c>
      <c r="C17" s="8" t="inlineStr">
        <is>
          <t>sedentary</t>
        </is>
      </c>
      <c r="D17" s="9" t="inlineStr">
        <is>
          <t>adj | /ˈsed.ən.tər.i/</t>
        </is>
      </c>
      <c r="E17" s="10" t="inlineStr">
        <is>
          <t>Thụ động ngồi nhiều</t>
        </is>
      </c>
      <c r="F17" s="10" t="inlineStr">
        <is>
          <t>Leading a prolonged _____ lifestyle in front of computer screens significantly increases the risk of heart disease.</t>
        </is>
      </c>
      <c r="G17" s="11" t="inlineStr">
        <is>
          <t>Đã thuộc</t>
        </is>
      </c>
      <c r="H17" s="10" t="inlineStr">
        <is>
          <t>Cụm: sedentary lifestyle</t>
        </is>
      </c>
    </row>
    <row r="18" ht="36" customHeight="1">
      <c r="A18" s="6" t="n">
        <v>14</v>
      </c>
      <c r="B18" s="2" t="inlineStr">
        <is>
          <t>Health &amp; Fitness</t>
        </is>
      </c>
      <c r="C18" s="3" t="inlineStr">
        <is>
          <t>nutritious</t>
        </is>
      </c>
      <c r="D18" s="4" t="inlineStr">
        <is>
          <t>adj | /njuːˈtrɪʃ.əs/</t>
        </is>
      </c>
      <c r="E18" s="5" t="inlineStr">
        <is>
          <t>Bổ dưỡng giàu dinh dưỡng</t>
        </is>
      </c>
      <c r="F18" s="5" t="inlineStr">
        <is>
          <t>Eating a _____ breakfast with whole grains, eggs, and fresh fruit provides sustained physical energy.</t>
        </is>
      </c>
      <c r="G18" s="6" t="inlineStr">
        <is>
          <t>Đã thuộc</t>
        </is>
      </c>
      <c r="H18" s="5" t="inlineStr">
        <is>
          <t>Danh từ: nutrition, nutrient</t>
        </is>
      </c>
    </row>
    <row r="19" ht="36" customHeight="1">
      <c r="A19" s="11" t="n">
        <v>15</v>
      </c>
      <c r="B19" s="7" t="inlineStr">
        <is>
          <t>Health &amp; Fitness</t>
        </is>
      </c>
      <c r="C19" s="8" t="inlineStr">
        <is>
          <t>longevity</t>
        </is>
      </c>
      <c r="D19" s="9" t="inlineStr">
        <is>
          <t>noun | /lɒnˈdʒev.ə.ti/</t>
        </is>
      </c>
      <c r="E19" s="10" t="inlineStr">
        <is>
          <t>Tuổi thọ cao</t>
        </is>
      </c>
      <c r="F19" s="10" t="inlineStr">
        <is>
          <t>A balanced Mediterranean diet, regular exercise, and strong community bonds contribute directly to human _____.</t>
        </is>
      </c>
      <c r="G19" s="11" t="inlineStr">
        <is>
          <t>Đang học</t>
        </is>
      </c>
      <c r="H19" s="10" t="inlineStr">
        <is>
          <t>Trọng âm 2: lon-GEV-i-ty</t>
        </is>
      </c>
    </row>
    <row r="20" ht="36" customHeight="1">
      <c r="A20" s="6" t="n">
        <v>16</v>
      </c>
      <c r="B20" s="2" t="inlineStr">
        <is>
          <t>Society &amp; Family</t>
        </is>
      </c>
      <c r="C20" s="3" t="inlineStr">
        <is>
          <t>nuclear family</t>
        </is>
      </c>
      <c r="D20" s="4" t="inlineStr">
        <is>
          <t>noun phr | /ˌnjuː.kli.ə ˈfæm.əl.i/</t>
        </is>
      </c>
      <c r="E20" s="5" t="inlineStr">
        <is>
          <t>Gia đình hạt nhân</t>
        </is>
      </c>
      <c r="F20" s="5" t="inlineStr">
        <is>
          <t>In modern metropolitan cities, the majority of households consist of a _____ with one or two children.</t>
        </is>
      </c>
      <c r="G20" s="6" t="inlineStr">
        <is>
          <t>Đã thuộc</t>
        </is>
      </c>
      <c r="H20" s="5" t="inlineStr">
        <is>
          <t>Trái nghĩa: extended family</t>
        </is>
      </c>
    </row>
    <row r="21" ht="36" customHeight="1">
      <c r="A21" s="11" t="n">
        <v>17</v>
      </c>
      <c r="B21" s="7" t="inlineStr">
        <is>
          <t>Society &amp; Family</t>
        </is>
      </c>
      <c r="C21" s="8" t="inlineStr">
        <is>
          <t>breadwinner</t>
        </is>
      </c>
      <c r="D21" s="9" t="inlineStr">
        <is>
          <t>noun | /ˈbredˌwɪn.ər/</t>
        </is>
      </c>
      <c r="E21" s="10" t="inlineStr">
        <is>
          <t>Trụ cột gia đình</t>
        </is>
      </c>
      <c r="F21" s="10" t="inlineStr">
        <is>
          <t>In many modern households, both parents work as equal _____ to cover rising living costs.</t>
        </is>
      </c>
      <c r="G21" s="11" t="inlineStr">
        <is>
          <t>Đã thuộc</t>
        </is>
      </c>
      <c r="H21" s="10" t="inlineStr">
        <is>
          <t>Nghĩa đen: người kiếm bánh mì</t>
        </is>
      </c>
    </row>
    <row r="22" ht="36" customHeight="1">
      <c r="A22" s="6" t="n">
        <v>18</v>
      </c>
      <c r="B22" s="2" t="inlineStr">
        <is>
          <t>Society &amp; Family</t>
        </is>
      </c>
      <c r="C22" s="3" t="inlineStr">
        <is>
          <t>generation gap</t>
        </is>
      </c>
      <c r="D22" s="4" t="inlineStr">
        <is>
          <t>noun phr | /ˌdʒen.əˈreɪ.ʃən ɡæp/</t>
        </is>
      </c>
      <c r="E22" s="5" t="inlineStr">
        <is>
          <t>Khoảng cách thế hệ</t>
        </is>
      </c>
      <c r="F22" s="5" t="inlineStr">
        <is>
          <t>Open family discussions at the dinner table help bridge the _____ between parents and teenagers.</t>
        </is>
      </c>
      <c r="G22" s="6" t="inlineStr">
        <is>
          <t>Đã thuộc</t>
        </is>
      </c>
      <c r="H22" s="5" t="inlineStr">
        <is>
          <t>Cụm: bridge / narrow the gap</t>
        </is>
      </c>
    </row>
    <row r="23" ht="36" customHeight="1">
      <c r="A23" s="11" t="n">
        <v>19</v>
      </c>
      <c r="B23" s="7" t="inlineStr">
        <is>
          <t>Travel &amp; Transport</t>
        </is>
      </c>
      <c r="C23" s="8" t="inlineStr">
        <is>
          <t>congestion</t>
        </is>
      </c>
      <c r="D23" s="9" t="inlineStr">
        <is>
          <t>noun | /kənˈdʒes.tʃən/</t>
        </is>
      </c>
      <c r="E23" s="10" t="inlineStr">
        <is>
          <t>Ùn tắc giao thông</t>
        </is>
      </c>
      <c r="F23" s="10" t="inlineStr">
        <is>
          <t>Expanding the underground metro network is the most effective solution to alleviate severe city traffic _____.</t>
        </is>
      </c>
      <c r="G23" s="11" t="inlineStr">
        <is>
          <t>Đã thuộc</t>
        </is>
      </c>
      <c r="H23" s="10" t="inlineStr">
        <is>
          <t>Tính từ: congested streets</t>
        </is>
      </c>
    </row>
    <row r="24" ht="36" customHeight="1">
      <c r="A24" s="6" t="n">
        <v>20</v>
      </c>
      <c r="B24" s="2" t="inlineStr">
        <is>
          <t>Travel &amp; Transport</t>
        </is>
      </c>
      <c r="C24" s="3" t="inlineStr">
        <is>
          <t>itinerary</t>
        </is>
      </c>
      <c r="D24" s="4" t="inlineStr">
        <is>
          <t>noun | /aɪˈtɪn.ər.ər.i/</t>
        </is>
      </c>
      <c r="E24" s="5" t="inlineStr">
        <is>
          <t>Lịch trình chuyến đi</t>
        </is>
      </c>
      <c r="F24" s="5" t="inlineStr">
        <is>
          <t>The travel agency organized a detailed seven-day _____ covering cultural heritage monuments in Hue and Hoi An.</t>
        </is>
      </c>
      <c r="G24" s="6" t="inlineStr">
        <is>
          <t>Đang học</t>
        </is>
      </c>
      <c r="H24" s="5" t="inlineStr">
        <is>
          <t>Trọng âm 2: ai-TIN-er-a-ry</t>
        </is>
      </c>
    </row>
    <row r="25" ht="36" customHeight="1">
      <c r="A25" s="11" t="n">
        <v>21</v>
      </c>
      <c r="B25" s="7" t="inlineStr">
        <is>
          <t>Travel &amp; Transport</t>
        </is>
      </c>
      <c r="C25" s="8" t="inlineStr">
        <is>
          <t>overtourism</t>
        </is>
      </c>
      <c r="D25" s="9" t="inlineStr">
        <is>
          <t>noun | /ˌəʊ.vəˈtʊə.rɪ.zəm/</t>
        </is>
      </c>
      <c r="E25" s="10" t="inlineStr">
        <is>
          <t>Quá tải du lịch</t>
        </is>
      </c>
      <c r="F25" s="10" t="inlineStr">
        <is>
          <t>Vulnerable historic destinations have introduced daily visitor quotas to protect local heritage from _____.</t>
        </is>
      </c>
      <c r="G25" s="11" t="inlineStr">
        <is>
          <t>Đã thuộc</t>
        </is>
      </c>
      <c r="H25" s="10" t="inlineStr">
        <is>
          <t>Chủ đề thời sự IELTS Task 2</t>
        </is>
      </c>
    </row>
    <row r="26" ht="36" customHeight="1">
      <c r="A26" s="6" t="n">
        <v>22</v>
      </c>
      <c r="B26" s="2" t="inlineStr">
        <is>
          <t>Cities &amp; Architecture</t>
        </is>
      </c>
      <c r="C26" s="3" t="inlineStr">
        <is>
          <t>urbanization</t>
        </is>
      </c>
      <c r="D26" s="4" t="inlineStr">
        <is>
          <t>noun | /ˌɜː.bən.aɪˈzeɪ.ʃən/</t>
        </is>
      </c>
      <c r="E26" s="5" t="inlineStr">
        <is>
          <t>Quá trình đô thị hóa</t>
        </is>
      </c>
      <c r="F26" s="5" t="inlineStr">
        <is>
          <t>Rapid uncontrolled _____ places immense pressure on clean water supplies and municipal sewage systems.</t>
        </is>
      </c>
      <c r="G26" s="6" t="inlineStr">
        <is>
          <t>Đã thuộc</t>
        </is>
      </c>
      <c r="H26" s="5" t="inlineStr">
        <is>
          <t>Urban &gt;&lt; rural</t>
        </is>
      </c>
    </row>
    <row r="27" ht="36" customHeight="1">
      <c r="A27" s="11" t="n">
        <v>23</v>
      </c>
      <c r="B27" s="7" t="inlineStr">
        <is>
          <t>Cities &amp; Architecture</t>
        </is>
      </c>
      <c r="C27" s="8" t="inlineStr">
        <is>
          <t>affordable</t>
        </is>
      </c>
      <c r="D27" s="9" t="inlineStr">
        <is>
          <t>adj | /əˈfɔː.də.bəl/</t>
        </is>
      </c>
      <c r="E27" s="10" t="inlineStr">
        <is>
          <t>Giá cả phải chăng</t>
        </is>
      </c>
      <c r="F27" s="10" t="inlineStr">
        <is>
          <t>Constructing _____ social housing enables low-income factory workers to afford decent living conditions.</t>
        </is>
      </c>
      <c r="G27" s="11" t="inlineStr">
        <is>
          <t>Đã thuộc</t>
        </is>
      </c>
      <c r="H27" s="10" t="inlineStr">
        <is>
          <t>Động từ: afford to buy sth</t>
        </is>
      </c>
    </row>
    <row r="28" ht="36" customHeight="1">
      <c r="A28" s="6" t="n">
        <v>24</v>
      </c>
      <c r="B28" s="2" t="inlineStr">
        <is>
          <t>Cities &amp; Architecture</t>
        </is>
      </c>
      <c r="C28" s="3" t="inlineStr">
        <is>
          <t>amenity</t>
        </is>
      </c>
      <c r="D28" s="4" t="inlineStr">
        <is>
          <t>noun | /əˈmiː.nə.ti/</t>
        </is>
      </c>
      <c r="E28" s="5" t="inlineStr">
        <is>
          <t>Tiện ích công cộng</t>
        </is>
      </c>
      <c r="F28" s="5" t="inlineStr">
        <is>
          <t>The new residential neighborhood boasts modern _____ including a gym, public park, and swimming pool.</t>
        </is>
      </c>
      <c r="G28" s="6" t="inlineStr">
        <is>
          <t>Đang học</t>
        </is>
      </c>
      <c r="H28" s="5" t="inlineStr">
        <is>
          <t>Số nhiều: amenities</t>
        </is>
      </c>
    </row>
    <row r="29" ht="36" customHeight="1">
      <c r="A29" s="11" t="n">
        <v>25</v>
      </c>
      <c r="B29" s="7" t="inlineStr">
        <is>
          <t>Arts &amp; Culture</t>
        </is>
      </c>
      <c r="C29" s="8" t="inlineStr">
        <is>
          <t>exhibition</t>
        </is>
      </c>
      <c r="D29" s="9" t="inlineStr">
        <is>
          <t>noun | /ˌek.sɪˈbɪʃ.ən/</t>
        </is>
      </c>
      <c r="E29" s="10" t="inlineStr">
        <is>
          <t>Triển lãm nghệ thuật</t>
        </is>
      </c>
      <c r="F29" s="10" t="inlineStr">
        <is>
          <t>The fine arts museum is hosting a contemporary _____ showcasing traditional Vietnamese lacquer paintings.</t>
        </is>
      </c>
      <c r="G29" s="11" t="inlineStr">
        <is>
          <t>Đã thuộc</t>
        </is>
      </c>
      <c r="H29" s="10" t="inlineStr">
        <is>
          <t>Âm 'h' câm: /ˌek.sɪˈbɪʃ.ən/</t>
        </is>
      </c>
    </row>
    <row r="30" ht="36" customHeight="1">
      <c r="A30" s="6" t="n">
        <v>26</v>
      </c>
      <c r="B30" s="2" t="inlineStr">
        <is>
          <t>Arts &amp; Culture</t>
        </is>
      </c>
      <c r="C30" s="3" t="inlineStr">
        <is>
          <t>masterpiece</t>
        </is>
      </c>
      <c r="D30" s="4" t="inlineStr">
        <is>
          <t>noun | /ˈmɑː.stə.piːs/</t>
        </is>
      </c>
      <c r="E30" s="5" t="inlineStr">
        <is>
          <t>Kiệt tác để đời</t>
        </is>
      </c>
      <c r="F30" s="5" t="inlineStr">
        <is>
          <t>Leonardo da Vinci's Mona Lisa is celebrated worldwide as an immortal Renaissance artistic _____.</t>
        </is>
      </c>
      <c r="G30" s="6" t="inlineStr">
        <is>
          <t>Đã thuộc</t>
        </is>
      </c>
      <c r="H30" s="5" t="inlineStr">
        <is>
          <t>Master + piece</t>
        </is>
      </c>
    </row>
    <row r="31" ht="36" customHeight="1">
      <c r="A31" s="11" t="n">
        <v>27</v>
      </c>
      <c r="B31" s="7" t="inlineStr">
        <is>
          <t>Arts &amp; Culture</t>
        </is>
      </c>
      <c r="C31" s="8" t="inlineStr">
        <is>
          <t>contemporary</t>
        </is>
      </c>
      <c r="D31" s="9" t="inlineStr">
        <is>
          <t>adj | /kənˈtem.pər.ər.i/</t>
        </is>
      </c>
      <c r="E31" s="10" t="inlineStr">
        <is>
          <t>Đương đại, ngày nay</t>
        </is>
      </c>
      <c r="F31" s="10" t="inlineStr">
        <is>
          <t>The art gallery specializes in _____ paintings created by living Southeast Asian artists.</t>
        </is>
      </c>
      <c r="G31" s="11" t="inlineStr">
        <is>
          <t>Đang học</t>
        </is>
      </c>
      <c r="H31" s="10" t="inlineStr">
        <is>
          <t>Trọng âm 2: con-TEM-po-ra-ry</t>
        </is>
      </c>
    </row>
    <row r="32" ht="36" customHeight="1">
      <c r="A32" s="6" t="n">
        <v>28</v>
      </c>
      <c r="B32" s="2" t="inlineStr">
        <is>
          <t>Crime &amp; Social Issues</t>
        </is>
      </c>
      <c r="C32" s="3" t="inlineStr">
        <is>
          <t>deterrent</t>
        </is>
      </c>
      <c r="D32" s="4" t="inlineStr">
        <is>
          <t>noun | /dɪˈter.ənt/</t>
        </is>
      </c>
      <c r="E32" s="5" t="inlineStr">
        <is>
          <t>Biện pháp răn đe</t>
        </is>
      </c>
      <c r="F32" s="5" t="inlineStr">
        <is>
          <t>Visible police patrols and security surveillance cameras act as a strong _____ against street robbery.</t>
        </is>
      </c>
      <c r="G32" s="6" t="inlineStr">
        <is>
          <t>Đang học</t>
        </is>
      </c>
      <c r="H32" s="5" t="inlineStr">
        <is>
          <t>Động từ: deter from doing sth</t>
        </is>
      </c>
    </row>
    <row r="33" ht="36" customHeight="1">
      <c r="A33" s="11" t="n">
        <v>29</v>
      </c>
      <c r="B33" s="7" t="inlineStr">
        <is>
          <t>Crime &amp; Social Issues</t>
        </is>
      </c>
      <c r="C33" s="8" t="inlineStr">
        <is>
          <t>rehabilitate</t>
        </is>
      </c>
      <c r="D33" s="9" t="inlineStr">
        <is>
          <t>verb | /ˌriː.həˈbɪl.ɪ.teɪt/</t>
        </is>
      </c>
      <c r="E33" s="10" t="inlineStr">
        <is>
          <t>Cải tạo phục hồi nhân phẩm</t>
        </is>
      </c>
      <c r="F33" s="10" t="inlineStr">
        <is>
          <t>Modern correctional facilities should focus on _____ offenders through education and job skills training.</t>
        </is>
      </c>
      <c r="G33" s="11" t="inlineStr">
        <is>
          <t>Đang học</t>
        </is>
      </c>
      <c r="H33" s="10" t="inlineStr">
        <is>
          <t>Danh từ: rehabilitation</t>
        </is>
      </c>
    </row>
    <row r="34" ht="36" customHeight="1">
      <c r="A34" s="6" t="n">
        <v>30</v>
      </c>
      <c r="B34" s="2" t="inlineStr">
        <is>
          <t>Crime &amp; Social Issues</t>
        </is>
      </c>
      <c r="C34" s="3" t="inlineStr">
        <is>
          <t>poverty</t>
        </is>
      </c>
      <c r="D34" s="4" t="inlineStr">
        <is>
          <t>noun | /ˈpɒv.ə.ti/</t>
        </is>
      </c>
      <c r="E34" s="5" t="inlineStr">
        <is>
          <t>Sự nghèo khó thiếu thốn</t>
        </is>
      </c>
      <c r="F34" s="5" t="inlineStr">
        <is>
          <t>Providing universal access to quality education is the most effective weapon to eradicate generational _____.</t>
        </is>
      </c>
      <c r="G34" s="6" t="inlineStr">
        <is>
          <t>Đã thuộc</t>
        </is>
      </c>
      <c r="H34" s="5" t="inlineStr">
        <is>
          <t>Tính từ: poor</t>
        </is>
      </c>
    </row>
    <row r="35" ht="36" customHeight="1">
      <c r="A35" s="11" t="n">
        <v>31</v>
      </c>
      <c r="B35" s="7" t="inlineStr">
        <is>
          <t>Shopping &amp; Money</t>
        </is>
      </c>
      <c r="C35" s="8" t="inlineStr">
        <is>
          <t>consumerism</t>
        </is>
      </c>
      <c r="D35" s="9" t="inlineStr">
        <is>
          <t>noun | /kənˈsjuː.mə.rɪ.zəm/</t>
        </is>
      </c>
      <c r="E35" s="10" t="inlineStr">
        <is>
          <t>Chủ nghĩa tiêu dùng</t>
        </is>
      </c>
      <c r="F35" s="10" t="inlineStr">
        <is>
          <t>Aggressive commercial advertising promotes rampant _____ and leads to unnecessary plastic waste.</t>
        </is>
      </c>
      <c r="G35" s="11" t="inlineStr">
        <is>
          <t>Đang học</t>
        </is>
      </c>
      <c r="H35" s="10" t="inlineStr">
        <is>
          <t>Người tiêu dùng: consumer</t>
        </is>
      </c>
    </row>
    <row r="36" ht="36" customHeight="1">
      <c r="A36" s="6" t="n">
        <v>32</v>
      </c>
      <c r="B36" s="2" t="inlineStr">
        <is>
          <t>Shopping &amp; Money</t>
        </is>
      </c>
      <c r="C36" s="3" t="inlineStr">
        <is>
          <t>receipt</t>
        </is>
      </c>
      <c r="D36" s="4" t="inlineStr">
        <is>
          <t>noun | /rɪˈsiːt/</t>
        </is>
      </c>
      <c r="E36" s="5" t="inlineStr">
        <is>
          <t>Hóa đơn thanh toán</t>
        </is>
      </c>
      <c r="F36" s="5" t="inlineStr">
        <is>
          <t>Make sure you keep the purchase _____ in case you wish to return the electronic device for a refund.</t>
        </is>
      </c>
      <c r="G36" s="6" t="inlineStr">
        <is>
          <t>Đã thuộc</t>
        </is>
      </c>
      <c r="H36" s="5" t="inlineStr">
        <is>
          <t>Âm 'p' câm: /rɪˈsiːt/</t>
        </is>
      </c>
    </row>
    <row r="37" ht="36" customHeight="1">
      <c r="A37" s="11" t="n">
        <v>33</v>
      </c>
      <c r="B37" s="7" t="inlineStr">
        <is>
          <t>Shopping &amp; Money</t>
        </is>
      </c>
      <c r="C37" s="8" t="inlineStr">
        <is>
          <t>impulse buying</t>
        </is>
      </c>
      <c r="D37" s="9" t="inlineStr">
        <is>
          <t>noun phr | /ˈɪm.pʌls ˌbaɪ.ɪŋ/</t>
        </is>
      </c>
      <c r="E37" s="10" t="inlineStr">
        <is>
          <t>Mua sắm bốc đồng</t>
        </is>
      </c>
      <c r="F37" s="10" t="inlineStr">
        <is>
          <t>Supermarkets arrange candy near the checkout counter to encourage spontaneous _____ among tired shoppers.</t>
        </is>
      </c>
      <c r="G37" s="11" t="inlineStr">
        <is>
          <t>Đang học</t>
        </is>
      </c>
      <c r="H37" s="10" t="inlineStr">
        <is>
          <t>Tính từ: impulsive</t>
        </is>
      </c>
    </row>
    <row r="38" ht="36" customHeight="1">
      <c r="A38" s="6" t="n">
        <v>34</v>
      </c>
      <c r="B38" s="2" t="inlineStr">
        <is>
          <t>Science &amp; Innovation</t>
        </is>
      </c>
      <c r="C38" s="3" t="inlineStr">
        <is>
          <t>breakthrough</t>
        </is>
      </c>
      <c r="D38" s="4" t="inlineStr">
        <is>
          <t>noun | /ˈbreɪk.θruː/</t>
        </is>
      </c>
      <c r="E38" s="5" t="inlineStr">
        <is>
          <t>Bước đột phá khoa học</t>
        </is>
      </c>
      <c r="F38" s="5" t="inlineStr">
        <is>
          <t>Medical researchers achieved a groundbreaking scientific _____ in developing mRNA vaccines against viruses.</t>
        </is>
      </c>
      <c r="G38" s="6" t="inlineStr">
        <is>
          <t>Đã thuộc</t>
        </is>
      </c>
      <c r="H38" s="5" t="inlineStr">
        <is>
          <t>Break + through</t>
        </is>
      </c>
    </row>
    <row r="39" ht="36" customHeight="1">
      <c r="A39" s="11" t="n">
        <v>35</v>
      </c>
      <c r="B39" s="7" t="inlineStr">
        <is>
          <t>Science &amp; Innovation</t>
        </is>
      </c>
      <c r="C39" s="8" t="inlineStr">
        <is>
          <t>versatile</t>
        </is>
      </c>
      <c r="D39" s="9" t="inlineStr">
        <is>
          <t>adj | /ˈvɜː.sə.taɪl/</t>
        </is>
      </c>
      <c r="E39" s="10" t="inlineStr">
        <is>
          <t>Đa năng, linh hoạt</t>
        </is>
      </c>
      <c r="F39" s="10" t="inlineStr">
        <is>
          <t>Bamboo is an exceptionally _____ natural material that can be used for building, flooring, and fabric.</t>
        </is>
      </c>
      <c r="G39" s="11" t="inlineStr">
        <is>
          <t>Đang học</t>
        </is>
      </c>
      <c r="H39" s="10" t="inlineStr">
        <is>
          <t>Danh từ: versatility</t>
        </is>
      </c>
    </row>
    <row r="40" ht="36" customHeight="1">
      <c r="A40" s="6" t="n">
        <v>36</v>
      </c>
      <c r="B40" s="2" t="inlineStr">
        <is>
          <t>Science &amp; Innovation</t>
        </is>
      </c>
      <c r="C40" s="3" t="inlineStr">
        <is>
          <t>revolutionize</t>
        </is>
      </c>
      <c r="D40" s="4" t="inlineStr">
        <is>
          <t>verb | /ˌrev.əˈluː.ʃən.aɪz/</t>
        </is>
      </c>
      <c r="E40" s="5" t="inlineStr">
        <is>
          <t>Cách mạng hóa sâu sắc</t>
        </is>
      </c>
      <c r="F40" s="5" t="inlineStr">
        <is>
          <t>The rapid creation of smartphones and mobile internet has completely _____ how humans communicate globally.</t>
        </is>
      </c>
      <c r="G40" s="6" t="inlineStr">
        <is>
          <t>Đã thuộc</t>
        </is>
      </c>
      <c r="H40" s="5" t="inlineStr">
        <is>
          <t>Danh từ: revolution</t>
        </is>
      </c>
    </row>
  </sheetData>
  <autoFilter ref="A4:H40"/>
  <mergeCells count="2">
    <mergeCell ref="A2:H2"/>
    <mergeCell ref="A1:H1"/>
  </mergeCells>
  <conditionalFormatting sqref="G5:G40">
    <cfRule type="cellIs" priority="1" operator="equal" dxfId="0">
      <formula>"Đã thuộc"</formula>
    </cfRule>
    <cfRule type="cellIs" priority="2" operator="equal" dxfId="1">
      <formula>"Đang học"</formula>
    </cfRule>
    <cfRule type="cellIs" priority="3" operator="equal" dxfId="2">
      <formula>"Cần ôn lại"</formula>
    </cfRule>
  </conditionalFormatting>
  <dataValidations count="1">
    <dataValidation sqref="G5:G40" showDropDown="0" showInputMessage="0" showErrorMessage="0" allowBlank="1" type="list">
      <formula1>"Đã thuộc,Đang học,Cần ôn lại"</formula1>
    </dataValidation>
  </dataValidations>
  <pageMargins left="0.75" right="0.75" top="1" bottom="1" header="0.5" footer="0.5"/>
</worksheet>
</file>

<file path=docProps/app.xml><?xml version="1.0" encoding="utf-8"?>
<Properties xmlns="http://schemas.openxmlformats.org/officeDocument/2006/extended-properties">
  <Application>Microsoft Excel</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2026-09-08T16:46:48Z</dcterms:created>
  <dcterms:modified xmlns:dcterms="http://purl.org/dc/terms/" xmlns:xsi="http://www.w3.org/2001/XMLSchema-instance" xsi:type="dcterms:W3CDTF">2026-09-08T16:46:48Z</dcterms:modified>
</cp:coreProperties>
</file>